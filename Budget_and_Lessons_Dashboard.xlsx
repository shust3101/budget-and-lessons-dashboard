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627a9f491b663a8/Desktop/"/>
    </mc:Choice>
  </mc:AlternateContent>
  <xr:revisionPtr revIDLastSave="0" documentId="8_{41291980-D48C-4FBD-8D9A-277F485B4926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Budget Overview" sheetId="1" r:id="rId1"/>
    <sheet name="Expenses" sheetId="2" r:id="rId2"/>
    <sheet name="Lessons Data" sheetId="3" r:id="rId3"/>
    <sheet name="Budget dashboard" sheetId="5" r:id="rId4"/>
    <sheet name="Lessons Dashboard" sheetId="6" r:id="rId5"/>
  </sheets>
  <externalReferences>
    <externalReference r:id="rId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3" l="1"/>
  <c r="F49" i="3"/>
  <c r="D45" i="3"/>
  <c r="C45" i="3"/>
  <c r="B45" i="3"/>
  <c r="AJ36" i="3"/>
  <c r="AI36" i="3"/>
  <c r="AH36" i="3"/>
  <c r="AG36" i="3"/>
  <c r="AF36" i="3"/>
  <c r="AE36" i="3"/>
  <c r="AD36" i="3"/>
  <c r="AJ35" i="3"/>
  <c r="AI35" i="3"/>
  <c r="AH35" i="3"/>
  <c r="AG35" i="3"/>
  <c r="AF35" i="3"/>
  <c r="AE35" i="3"/>
  <c r="AD35" i="3"/>
  <c r="AJ29" i="3"/>
  <c r="AI29" i="3"/>
  <c r="AH29" i="3"/>
  <c r="AG29" i="3"/>
  <c r="AF29" i="3"/>
  <c r="AE29" i="3"/>
  <c r="AD29" i="3"/>
  <c r="AJ28" i="3"/>
  <c r="AI28" i="3"/>
  <c r="AH28" i="3"/>
  <c r="AG28" i="3"/>
  <c r="AF28" i="3"/>
  <c r="AE28" i="3"/>
  <c r="AD28" i="3"/>
  <c r="AJ22" i="3"/>
  <c r="AI22" i="3"/>
  <c r="AH22" i="3"/>
  <c r="AG22" i="3"/>
  <c r="AF22" i="3"/>
  <c r="AE22" i="3"/>
  <c r="AD22" i="3"/>
  <c r="AJ21" i="3"/>
  <c r="AI21" i="3"/>
  <c r="AH21" i="3"/>
  <c r="AG21" i="3"/>
  <c r="AF21" i="3"/>
  <c r="AE21" i="3"/>
  <c r="AD21" i="3"/>
  <c r="AJ14" i="3"/>
  <c r="AI14" i="3"/>
  <c r="AH14" i="3"/>
  <c r="AG14" i="3"/>
  <c r="AF14" i="3"/>
  <c r="AE14" i="3"/>
  <c r="AD14" i="3"/>
  <c r="AJ13" i="3"/>
  <c r="AI13" i="3"/>
  <c r="AH13" i="3"/>
  <c r="AG13" i="3"/>
  <c r="AF13" i="3"/>
  <c r="AE13" i="3"/>
  <c r="AD13" i="3"/>
  <c r="D37" i="3"/>
  <c r="E37" i="3" s="1"/>
  <c r="D29" i="3"/>
  <c r="E29" i="3" s="1"/>
  <c r="D36" i="3" s="1"/>
  <c r="E36" i="3" s="1"/>
  <c r="D15" i="3"/>
  <c r="E15" i="3" s="1"/>
  <c r="D23" i="3" s="1"/>
  <c r="E23" i="3" s="1"/>
  <c r="D30" i="3" s="1"/>
  <c r="E30" i="3" s="1"/>
  <c r="D14" i="3"/>
  <c r="E14" i="3" s="1"/>
  <c r="D22" i="3" s="1"/>
  <c r="E22" i="3" s="1"/>
  <c r="D13" i="3"/>
  <c r="E13" i="3" s="1"/>
  <c r="D21" i="3" s="1"/>
  <c r="E21" i="3" s="1"/>
  <c r="D28" i="3" s="1"/>
  <c r="E28" i="3" s="1"/>
  <c r="D35" i="3" s="1"/>
  <c r="E35" i="3" s="1"/>
  <c r="K8" i="3"/>
  <c r="D8" i="3"/>
  <c r="K7" i="3"/>
  <c r="D7" i="3"/>
  <c r="K6" i="3"/>
  <c r="D6" i="3"/>
  <c r="D5" i="3"/>
  <c r="E35" i="2"/>
  <c r="G34" i="2"/>
  <c r="F33" i="2"/>
  <c r="G33" i="2" s="1"/>
  <c r="F32" i="2"/>
  <c r="C32" i="2"/>
  <c r="G32" i="2" s="1"/>
  <c r="G31" i="2"/>
  <c r="F31" i="2"/>
  <c r="E31" i="2"/>
  <c r="C30" i="2"/>
  <c r="G30" i="2" s="1"/>
  <c r="C29" i="2"/>
  <c r="G29" i="2" s="1"/>
  <c r="G28" i="2"/>
  <c r="F27" i="2"/>
  <c r="C27" i="2"/>
  <c r="G27" i="2" s="1"/>
  <c r="F26" i="2"/>
  <c r="G26" i="2" s="1"/>
  <c r="F25" i="2"/>
  <c r="C25" i="2"/>
  <c r="G25" i="2" s="1"/>
  <c r="G24" i="2"/>
  <c r="F23" i="2"/>
  <c r="C23" i="2"/>
  <c r="G23" i="2" s="1"/>
  <c r="G22" i="2"/>
  <c r="F22" i="2"/>
  <c r="C22" i="2"/>
  <c r="C21" i="2"/>
  <c r="G21" i="2" s="1"/>
  <c r="F20" i="2"/>
  <c r="G20" i="2" s="1"/>
  <c r="D20" i="2"/>
  <c r="C20" i="2"/>
  <c r="G19" i="2"/>
  <c r="C18" i="2"/>
  <c r="G18" i="2" s="1"/>
  <c r="F17" i="2"/>
  <c r="C17" i="2"/>
  <c r="G17" i="2" s="1"/>
  <c r="C16" i="2"/>
  <c r="G16" i="2" s="1"/>
  <c r="F15" i="2"/>
  <c r="D15" i="2"/>
  <c r="D35" i="2" s="1"/>
  <c r="C15" i="2"/>
  <c r="G15" i="2" s="1"/>
  <c r="F14" i="2"/>
  <c r="G14" i="2" s="1"/>
  <c r="F13" i="2"/>
  <c r="E13" i="2"/>
  <c r="C13" i="2"/>
  <c r="G13" i="2" s="1"/>
  <c r="F12" i="2"/>
  <c r="G12" i="2" s="1"/>
  <c r="F11" i="2"/>
  <c r="C11" i="2"/>
  <c r="G11" i="2" s="1"/>
  <c r="F10" i="2"/>
  <c r="F35" i="2" s="1"/>
  <c r="G9" i="2"/>
  <c r="G8" i="2"/>
  <c r="C7" i="2"/>
  <c r="G7" i="2" s="1"/>
  <c r="C6" i="2"/>
  <c r="C35" i="2" s="1"/>
  <c r="G5" i="2"/>
  <c r="F4" i="2"/>
  <c r="G4" i="2" s="1"/>
  <c r="B11" i="1"/>
  <c r="B10" i="1"/>
  <c r="B8" i="1"/>
  <c r="B6" i="1" s="1"/>
  <c r="B12" i="1" s="1"/>
  <c r="B5" i="1"/>
  <c r="D41" i="3" l="1"/>
  <c r="G10" i="2"/>
  <c r="G6" i="2"/>
  <c r="G35" i="2" s="1"/>
</calcChain>
</file>

<file path=xl/sharedStrings.xml><?xml version="1.0" encoding="utf-8"?>
<sst xmlns="http://schemas.openxmlformats.org/spreadsheetml/2006/main" count="270" uniqueCount="58">
  <si>
    <t xml:space="preserve"> </t>
  </si>
  <si>
    <t>Previous Month Balance</t>
  </si>
  <si>
    <t>Total Income</t>
  </si>
  <si>
    <t>Salary</t>
  </si>
  <si>
    <t>Private lessons</t>
  </si>
  <si>
    <t>Rent</t>
  </si>
  <si>
    <t>Total Expenses</t>
  </si>
  <si>
    <t>Final Balance</t>
  </si>
  <si>
    <t>Day</t>
  </si>
  <si>
    <t>Groceries</t>
  </si>
  <si>
    <t>Health</t>
  </si>
  <si>
    <t>Clothing</t>
  </si>
  <si>
    <t>Other</t>
  </si>
  <si>
    <t>Total</t>
  </si>
  <si>
    <t>Student A</t>
  </si>
  <si>
    <t>Student B</t>
  </si>
  <si>
    <t>Student C</t>
  </si>
  <si>
    <t>Package(40)</t>
  </si>
  <si>
    <t>Package(60)</t>
  </si>
  <si>
    <t>Mini-Package(60)</t>
  </si>
  <si>
    <t>Mini-Package(40)</t>
  </si>
  <si>
    <t>Start Date</t>
  </si>
  <si>
    <t>Finish Date</t>
  </si>
  <si>
    <t>Completed</t>
  </si>
  <si>
    <t>Paid</t>
  </si>
  <si>
    <t>Type</t>
  </si>
  <si>
    <t>Monday</t>
  </si>
  <si>
    <t>Tuesday</t>
  </si>
  <si>
    <t>Wednesday</t>
  </si>
  <si>
    <t>Thursday</t>
  </si>
  <si>
    <t>Friday</t>
  </si>
  <si>
    <t>Saturday</t>
  </si>
  <si>
    <t>Sunday</t>
  </si>
  <si>
    <t>Price</t>
  </si>
  <si>
    <t>Quantity</t>
  </si>
  <si>
    <t>Student D</t>
  </si>
  <si>
    <t>Student E</t>
  </si>
  <si>
    <t>1 Week(03.11-09.11)</t>
  </si>
  <si>
    <t>2 Week(10.11-16.11)</t>
  </si>
  <si>
    <t>3 Week(17.11-23.11)</t>
  </si>
  <si>
    <t>4 Week(24.11-30.11)</t>
  </si>
  <si>
    <t>Remaining Lessons</t>
  </si>
  <si>
    <t>Name</t>
  </si>
  <si>
    <t>Savings</t>
  </si>
  <si>
    <t>Category</t>
  </si>
  <si>
    <t xml:space="preserve"> Amount</t>
  </si>
  <si>
    <t xml:space="preserve">Income </t>
  </si>
  <si>
    <t>Expenses</t>
  </si>
  <si>
    <t>Monthly Budget Overview</t>
  </si>
  <si>
    <t>Period: April 2024</t>
  </si>
  <si>
    <t>Lesson Management Overview</t>
  </si>
  <si>
    <t>Income</t>
  </si>
  <si>
    <t xml:space="preserve">Student </t>
  </si>
  <si>
    <t xml:space="preserve">Student A </t>
  </si>
  <si>
    <t>Teacher D</t>
  </si>
  <si>
    <t>Teacher E</t>
  </si>
  <si>
    <t>Package</t>
  </si>
  <si>
    <t>Non-Package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</si>
</sst>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* #,##0.00\ [$zł-415]_-;\-* #,##0.00\ [$zł-415]_-;_-* &quot;-&quot;??\ [$zł-415]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8"/>
      <color theme="1"/>
      <name val="Times New Roman"/>
      <family val="1"/>
    </font>
    <font>
      <sz val="18"/>
      <color theme="1"/>
      <name val="Times New Roman"/>
      <family val="1"/>
    </font>
    <font>
      <i/>
      <sz val="28"/>
      <color theme="1"/>
      <name val="Times New Roman"/>
      <family val="1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1" applyNumberFormat="1" applyFont="1" applyBorder="1"/>
    <xf numFmtId="0" fontId="0" fillId="0" borderId="0" xfId="0" applyAlignment="1">
      <alignment vertical="center" wrapText="1"/>
    </xf>
    <xf numFmtId="0" fontId="2" fillId="0" borderId="0" xfId="0" applyFont="1"/>
    <xf numFmtId="0" fontId="8" fillId="0" borderId="0" xfId="0" applyFont="1"/>
    <xf numFmtId="164" fontId="0" fillId="0" borderId="0" xfId="0" applyNumberFormat="1"/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2" borderId="8" xfId="2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Accent3" xfId="2" builtinId="37"/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border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F2F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Expenses by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B2-4CDF-A8D9-A580FD6D1E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2-4CDF-A8D9-A580FD6D1E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B2-4CDF-A8D9-A580FD6D1E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B2-4CDF-A8D9-A580FD6D1E14}"/>
              </c:ext>
            </c:extLst>
          </c:dPt>
          <c:cat>
            <c:strRef>
              <c:f>Expenses!$C$3:$F$3</c:f>
              <c:strCache>
                <c:ptCount val="4"/>
                <c:pt idx="0">
                  <c:v>Groceries</c:v>
                </c:pt>
                <c:pt idx="1">
                  <c:v>Health</c:v>
                </c:pt>
                <c:pt idx="2">
                  <c:v>Clothing</c:v>
                </c:pt>
                <c:pt idx="3">
                  <c:v>Other</c:v>
                </c:pt>
              </c:strCache>
            </c:strRef>
          </c:cat>
          <c:val>
            <c:numRef>
              <c:f>Expenses!$C$35:$F$35</c:f>
              <c:numCache>
                <c:formatCode>General</c:formatCode>
                <c:ptCount val="4"/>
                <c:pt idx="0">
                  <c:v>1822.3700000000001</c:v>
                </c:pt>
                <c:pt idx="1">
                  <c:v>47.45</c:v>
                </c:pt>
                <c:pt idx="2">
                  <c:v>686.45</c:v>
                </c:pt>
                <c:pt idx="3">
                  <c:v>1822.3600000000001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B2-4CDF-A8D9-A580FD6D1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3.492436098069901E-2"/>
          <c:y val="0.86631889763779524"/>
          <c:w val="0.8936356840371477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Income vs Expenses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dashboard'!$V$7</c:f>
              <c:strCache>
                <c:ptCount val="1"/>
                <c:pt idx="0">
                  <c:v>Income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dashboard'!$W$6</c:f>
              <c:strCache>
                <c:ptCount val="1"/>
                <c:pt idx="0">
                  <c:v> Amount</c:v>
                </c:pt>
              </c:strCache>
            </c:strRef>
          </c:cat>
          <c:val>
            <c:numRef>
              <c:f>'Budget dashboard'!$W$7</c:f>
              <c:numCache>
                <c:formatCode>General</c:formatCode>
                <c:ptCount val="1"/>
                <c:pt idx="0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D-425B-95A3-4900E33F3609}"/>
            </c:ext>
          </c:extLst>
        </c:ser>
        <c:ser>
          <c:idx val="1"/>
          <c:order val="1"/>
          <c:tx>
            <c:strRef>
              <c:f>'Budget dashboard'!$V$8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dashboard'!$W$6</c:f>
              <c:strCache>
                <c:ptCount val="1"/>
                <c:pt idx="0">
                  <c:v> Amount</c:v>
                </c:pt>
              </c:strCache>
            </c:strRef>
          </c:cat>
          <c:val>
            <c:numRef>
              <c:f>'Budget dashboard'!$W$8</c:f>
              <c:numCache>
                <c:formatCode>General</c:formatCode>
                <c:ptCount val="1"/>
                <c:pt idx="0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D-425B-95A3-4900E33F3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648863"/>
        <c:axId val="706649343"/>
      </c:barChart>
      <c:catAx>
        <c:axId val="70664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49343"/>
        <c:crosses val="autoZero"/>
        <c:auto val="1"/>
        <c:lblAlgn val="ctr"/>
        <c:lblOffset val="100"/>
        <c:noMultiLvlLbl val="0"/>
      </c:catAx>
      <c:valAx>
        <c:axId val="70664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4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Lessons Completed per Student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'Lessons Data'!$B$49</c:f>
              <c:strCache>
                <c:ptCount val="1"/>
                <c:pt idx="0">
                  <c:v>Student 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'Lessons Data'!$C$48</c:f>
              <c:strCache>
                <c:ptCount val="1"/>
                <c:pt idx="0">
                  <c:v>Completed</c:v>
                </c:pt>
              </c:strCache>
            </c:strRef>
          </c:cat>
          <c:val>
            <c:numRef>
              <c:f>'Lessons Data'!$C$49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9-4461-AFBB-0CEACE2075B2}"/>
            </c:ext>
          </c:extLst>
        </c:ser>
        <c:ser>
          <c:idx val="1"/>
          <c:order val="1"/>
          <c:tx>
            <c:strRef>
              <c:f>'Lessons Data'!$B$50</c:f>
              <c:strCache>
                <c:ptCount val="1"/>
                <c:pt idx="0">
                  <c:v>Student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'Lessons Data'!$C$48</c:f>
              <c:strCache>
                <c:ptCount val="1"/>
                <c:pt idx="0">
                  <c:v>Completed</c:v>
                </c:pt>
              </c:strCache>
            </c:strRef>
          </c:cat>
          <c:val>
            <c:numRef>
              <c:f>'Lessons Data'!$C$50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9-4461-AFBB-0CEACE2075B2}"/>
            </c:ext>
          </c:extLst>
        </c:ser>
        <c:ser>
          <c:idx val="2"/>
          <c:order val="2"/>
          <c:tx>
            <c:strRef>
              <c:f>'Lessons Data'!$B$51</c:f>
              <c:strCache>
                <c:ptCount val="1"/>
                <c:pt idx="0">
                  <c:v>Student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'Lessons Data'!$C$48</c:f>
              <c:strCache>
                <c:ptCount val="1"/>
                <c:pt idx="0">
                  <c:v>Completed</c:v>
                </c:pt>
              </c:strCache>
            </c:strRef>
          </c:cat>
          <c:val>
            <c:numRef>
              <c:f>'Lessons Data'!$C$51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9-4461-AFBB-0CEACE2075B2}"/>
            </c:ext>
          </c:extLst>
        </c:ser>
        <c:ser>
          <c:idx val="3"/>
          <c:order val="3"/>
          <c:tx>
            <c:strRef>
              <c:f>'Lessons Data'!$B$52</c:f>
              <c:strCache>
                <c:ptCount val="1"/>
                <c:pt idx="0">
                  <c:v>Teacher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'Lessons Data'!$C$48</c:f>
              <c:strCache>
                <c:ptCount val="1"/>
                <c:pt idx="0">
                  <c:v>Completed</c:v>
                </c:pt>
              </c:strCache>
            </c:strRef>
          </c:cat>
          <c:val>
            <c:numRef>
              <c:f>'Lessons Data'!$C$52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89-4461-AFBB-0CEACE2075B2}"/>
            </c:ext>
          </c:extLst>
        </c:ser>
        <c:ser>
          <c:idx val="4"/>
          <c:order val="4"/>
          <c:tx>
            <c:strRef>
              <c:f>'Lessons Data'!$B$53</c:f>
              <c:strCache>
                <c:ptCount val="1"/>
                <c:pt idx="0">
                  <c:v>Teacher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'Lessons Data'!$C$48</c:f>
              <c:strCache>
                <c:ptCount val="1"/>
                <c:pt idx="0">
                  <c:v>Completed</c:v>
                </c:pt>
              </c:strCache>
            </c:strRef>
          </c:cat>
          <c:val>
            <c:numRef>
              <c:f>'Lessons Data'!$C$53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89-4461-AFBB-0CEACE20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754991"/>
        <c:axId val="1070758831"/>
      </c:barChart>
      <c:catAx>
        <c:axId val="10707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758831"/>
        <c:crosses val="autoZero"/>
        <c:auto val="1"/>
        <c:lblAlgn val="ctr"/>
        <c:lblOffset val="100"/>
        <c:noMultiLvlLbl val="0"/>
      </c:catAx>
      <c:valAx>
        <c:axId val="10707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7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Income by Lesson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35-4DFF-AEAE-858940FCFD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35-4DFF-AEAE-858940FCFD45}"/>
              </c:ext>
            </c:extLst>
          </c:dPt>
          <c:cat>
            <c:strRef>
              <c:f>'Lessons Data'!$E$48:$F$48</c:f>
              <c:strCache>
                <c:ptCount val="2"/>
                <c:pt idx="0">
                  <c:v>Package</c:v>
                </c:pt>
                <c:pt idx="1">
                  <c:v>Non-Package</c:v>
                </c:pt>
              </c:strCache>
            </c:strRef>
          </c:cat>
          <c:val>
            <c:numRef>
              <c:f>'Lessons Data'!$E$49:$F$49</c:f>
              <c:numCache>
                <c:formatCode>General</c:formatCode>
                <c:ptCount val="2"/>
                <c:pt idx="0">
                  <c:v>1720</c:v>
                </c:pt>
                <c:pt idx="1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5-4DFF-AEAE-858940FCF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7</xdr:row>
      <xdr:rowOff>22860</xdr:rowOff>
    </xdr:from>
    <xdr:to>
      <xdr:col>4</xdr:col>
      <xdr:colOff>7620</xdr:colOff>
      <xdr:row>12</xdr:row>
      <xdr:rowOff>22860</xdr:rowOff>
    </xdr:to>
    <xdr:sp macro="" textlink="'Budget Overview'!B6">
      <xdr:nvSpPr>
        <xdr:cNvPr id="2" name="Rectangle 1">
          <a:extLst>
            <a:ext uri="{FF2B5EF4-FFF2-40B4-BE49-F238E27FC236}">
              <a16:creationId xmlns:a16="http://schemas.microsoft.com/office/drawing/2014/main" id="{8C4E83B3-78F3-0E08-19A3-4DE3A05AF242}"/>
            </a:ext>
          </a:extLst>
        </xdr:cNvPr>
        <xdr:cNvSpPr/>
      </xdr:nvSpPr>
      <xdr:spPr>
        <a:xfrm>
          <a:off x="617220" y="75438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109AFE5-F1E9-4671-A764-8760107874D5}" type="TxLink">
            <a:rPr lang="en-US" sz="24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 9,810.07 zł </a:t>
          </a:fld>
          <a:endParaRPr lang="en-GB" sz="2400" b="1"/>
        </a:p>
      </xdr:txBody>
    </xdr:sp>
    <xdr:clientData/>
  </xdr:twoCellAnchor>
  <xdr:twoCellAnchor>
    <xdr:from>
      <xdr:col>5</xdr:col>
      <xdr:colOff>15240</xdr:colOff>
      <xdr:row>7</xdr:row>
      <xdr:rowOff>7620</xdr:rowOff>
    </xdr:from>
    <xdr:to>
      <xdr:col>8</xdr:col>
      <xdr:colOff>15240</xdr:colOff>
      <xdr:row>12</xdr:row>
      <xdr:rowOff>7620</xdr:rowOff>
    </xdr:to>
    <xdr:sp macro="" textlink="Expenses!G35">
      <xdr:nvSpPr>
        <xdr:cNvPr id="3" name="Rectangle 2">
          <a:extLst>
            <a:ext uri="{FF2B5EF4-FFF2-40B4-BE49-F238E27FC236}">
              <a16:creationId xmlns:a16="http://schemas.microsoft.com/office/drawing/2014/main" id="{AC390EA8-4926-F30C-E4F0-9CBE9B95110D}"/>
            </a:ext>
          </a:extLst>
        </xdr:cNvPr>
        <xdr:cNvSpPr/>
      </xdr:nvSpPr>
      <xdr:spPr>
        <a:xfrm>
          <a:off x="3063240" y="73914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64596C7B-361C-48AA-AB35-26D4AFFFE32E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 4,378.63 zł 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9</xdr:col>
      <xdr:colOff>7620</xdr:colOff>
      <xdr:row>7</xdr:row>
      <xdr:rowOff>0</xdr:rowOff>
    </xdr:from>
    <xdr:to>
      <xdr:col>12</xdr:col>
      <xdr:colOff>7620</xdr:colOff>
      <xdr:row>12</xdr:row>
      <xdr:rowOff>0</xdr:rowOff>
    </xdr:to>
    <xdr:sp macro="" textlink="'Budget Overview'!B11">
      <xdr:nvSpPr>
        <xdr:cNvPr id="4" name="Rectangle 3">
          <a:extLst>
            <a:ext uri="{FF2B5EF4-FFF2-40B4-BE49-F238E27FC236}">
              <a16:creationId xmlns:a16="http://schemas.microsoft.com/office/drawing/2014/main" id="{8399AE57-905E-41F9-BECE-3E3D5AE3C776}"/>
            </a:ext>
          </a:extLst>
        </xdr:cNvPr>
        <xdr:cNvSpPr/>
      </xdr:nvSpPr>
      <xdr:spPr>
        <a:xfrm>
          <a:off x="5494020" y="73152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1FBB074F-C272-42FE-9E79-5AFCE5A81E74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 1,500.00 zł 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16</xdr:col>
      <xdr:colOff>0</xdr:colOff>
      <xdr:row>12</xdr:row>
      <xdr:rowOff>0</xdr:rowOff>
    </xdr:to>
    <xdr:sp macro="" textlink="'Budget Overview'!B12">
      <xdr:nvSpPr>
        <xdr:cNvPr id="5" name="Rectangle 4">
          <a:extLst>
            <a:ext uri="{FF2B5EF4-FFF2-40B4-BE49-F238E27FC236}">
              <a16:creationId xmlns:a16="http://schemas.microsoft.com/office/drawing/2014/main" id="{949F9765-702C-4BF7-A583-81B963C25788}"/>
            </a:ext>
          </a:extLst>
        </xdr:cNvPr>
        <xdr:cNvSpPr/>
      </xdr:nvSpPr>
      <xdr:spPr>
        <a:xfrm>
          <a:off x="7924800" y="73152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4F322A32-16AD-473A-B2A4-5E633CF64B4C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 2,982.02 zł 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1</xdr:col>
      <xdr:colOff>0</xdr:colOff>
      <xdr:row>4</xdr:row>
      <xdr:rowOff>76200</xdr:rowOff>
    </xdr:from>
    <xdr:to>
      <xdr:col>4</xdr:col>
      <xdr:colOff>0</xdr:colOff>
      <xdr:row>6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47E85F-F772-A358-1DBF-9F7190F5E5C6}"/>
            </a:ext>
          </a:extLst>
        </xdr:cNvPr>
        <xdr:cNvSpPr txBox="1"/>
      </xdr:nvSpPr>
      <xdr:spPr>
        <a:xfrm>
          <a:off x="609600" y="259080"/>
          <a:ext cx="18288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Total Income</a:t>
          </a:r>
        </a:p>
      </xdr:txBody>
    </xdr:sp>
    <xdr:clientData/>
  </xdr:twoCellAnchor>
  <xdr:twoCellAnchor>
    <xdr:from>
      <xdr:col>5</xdr:col>
      <xdr:colOff>7620</xdr:colOff>
      <xdr:row>4</xdr:row>
      <xdr:rowOff>76200</xdr:rowOff>
    </xdr:from>
    <xdr:to>
      <xdr:col>8</xdr:col>
      <xdr:colOff>7620</xdr:colOff>
      <xdr:row>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999B56-84AE-447E-97E3-BC58F8EDE91B}"/>
            </a:ext>
          </a:extLst>
        </xdr:cNvPr>
        <xdr:cNvSpPr txBox="1"/>
      </xdr:nvSpPr>
      <xdr:spPr>
        <a:xfrm>
          <a:off x="3055620" y="259080"/>
          <a:ext cx="18288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Total </a:t>
          </a:r>
          <a:r>
            <a:rPr lang="pl-PL" sz="1400" b="1"/>
            <a:t>Expences</a:t>
          </a:r>
          <a:endParaRPr lang="en-GB" sz="1400" b="1"/>
        </a:p>
      </xdr:txBody>
    </xdr:sp>
    <xdr:clientData/>
  </xdr:twoCellAnchor>
  <xdr:twoCellAnchor>
    <xdr:from>
      <xdr:col>9</xdr:col>
      <xdr:colOff>0</xdr:colOff>
      <xdr:row>4</xdr:row>
      <xdr:rowOff>76200</xdr:rowOff>
    </xdr:from>
    <xdr:to>
      <xdr:col>12</xdr:col>
      <xdr:colOff>0</xdr:colOff>
      <xdr:row>6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B9298BD-59DD-40D7-81CC-6313FF3D8245}"/>
            </a:ext>
          </a:extLst>
        </xdr:cNvPr>
        <xdr:cNvSpPr txBox="1"/>
      </xdr:nvSpPr>
      <xdr:spPr>
        <a:xfrm>
          <a:off x="5486400" y="259080"/>
          <a:ext cx="18288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 b="1"/>
            <a:t>Savings</a:t>
          </a:r>
          <a:endParaRPr lang="en-GB" sz="1400" b="1"/>
        </a:p>
      </xdr:txBody>
    </xdr:sp>
    <xdr:clientData/>
  </xdr:twoCellAnchor>
  <xdr:twoCellAnchor>
    <xdr:from>
      <xdr:col>13</xdr:col>
      <xdr:colOff>0</xdr:colOff>
      <xdr:row>4</xdr:row>
      <xdr:rowOff>76200</xdr:rowOff>
    </xdr:from>
    <xdr:to>
      <xdr:col>16</xdr:col>
      <xdr:colOff>0</xdr:colOff>
      <xdr:row>5</xdr:row>
      <xdr:rowOff>175260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66506D-AE5C-4591-A5D8-AB489129B03E}"/>
            </a:ext>
          </a:extLst>
        </xdr:cNvPr>
        <xdr:cNvSpPr txBox="1"/>
      </xdr:nvSpPr>
      <xdr:spPr>
        <a:xfrm>
          <a:off x="7924800" y="259080"/>
          <a:ext cx="18288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 b="1"/>
            <a:t>Final</a:t>
          </a:r>
          <a:r>
            <a:rPr lang="pl-PL" sz="1400" b="1" baseline="0"/>
            <a:t> Balance</a:t>
          </a:r>
          <a:endParaRPr lang="en-GB" sz="1400" b="1"/>
        </a:p>
      </xdr:txBody>
    </xdr:sp>
    <xdr:clientData/>
  </xdr:twoCellAnchor>
  <xdr:twoCellAnchor>
    <xdr:from>
      <xdr:col>1</xdr:col>
      <xdr:colOff>0</xdr:colOff>
      <xdr:row>12</xdr:row>
      <xdr:rowOff>171450</xdr:rowOff>
    </xdr:from>
    <xdr:to>
      <xdr:col>8</xdr:col>
      <xdr:colOff>7620</xdr:colOff>
      <xdr:row>27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E002B5-87B3-4185-BBE5-6A9BC50B5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171450</xdr:rowOff>
    </xdr:from>
    <xdr:to>
      <xdr:col>16</xdr:col>
      <xdr:colOff>9600</xdr:colOff>
      <xdr:row>27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0398ED-DC95-B2E2-1157-75ECFB075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7</xdr:row>
      <xdr:rowOff>22860</xdr:rowOff>
    </xdr:from>
    <xdr:to>
      <xdr:col>4</xdr:col>
      <xdr:colOff>30480</xdr:colOff>
      <xdr:row>12</xdr:row>
      <xdr:rowOff>22860</xdr:rowOff>
    </xdr:to>
    <xdr:sp macro="" textlink="'Lessons Data'!B45">
      <xdr:nvSpPr>
        <xdr:cNvPr id="2" name="Rectangle 1">
          <a:extLst>
            <a:ext uri="{FF2B5EF4-FFF2-40B4-BE49-F238E27FC236}">
              <a16:creationId xmlns:a16="http://schemas.microsoft.com/office/drawing/2014/main" id="{047D7BD8-2EAD-450E-BBB6-9C99672CB709}"/>
            </a:ext>
          </a:extLst>
        </xdr:cNvPr>
        <xdr:cNvSpPr/>
      </xdr:nvSpPr>
      <xdr:spPr>
        <a:xfrm>
          <a:off x="640080" y="154686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86E8007-4831-4E40-B106-F8AAC400559C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5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5</xdr:col>
      <xdr:colOff>15240</xdr:colOff>
      <xdr:row>7</xdr:row>
      <xdr:rowOff>7620</xdr:rowOff>
    </xdr:from>
    <xdr:to>
      <xdr:col>8</xdr:col>
      <xdr:colOff>15240</xdr:colOff>
      <xdr:row>12</xdr:row>
      <xdr:rowOff>7620</xdr:rowOff>
    </xdr:to>
    <xdr:sp macro="" textlink="'Lessons Data'!C45">
      <xdr:nvSpPr>
        <xdr:cNvPr id="3" name="Rectangle 2">
          <a:extLst>
            <a:ext uri="{FF2B5EF4-FFF2-40B4-BE49-F238E27FC236}">
              <a16:creationId xmlns:a16="http://schemas.microsoft.com/office/drawing/2014/main" id="{56793046-F232-481B-B361-F310AF8B1E4F}"/>
            </a:ext>
          </a:extLst>
        </xdr:cNvPr>
        <xdr:cNvSpPr/>
      </xdr:nvSpPr>
      <xdr:spPr>
        <a:xfrm>
          <a:off x="3063240" y="153924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ABBEB0E-A159-4CC6-9529-900B852F070F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29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9</xdr:col>
      <xdr:colOff>7620</xdr:colOff>
      <xdr:row>7</xdr:row>
      <xdr:rowOff>22860</xdr:rowOff>
    </xdr:from>
    <xdr:to>
      <xdr:col>12</xdr:col>
      <xdr:colOff>7620</xdr:colOff>
      <xdr:row>12</xdr:row>
      <xdr:rowOff>22860</xdr:rowOff>
    </xdr:to>
    <xdr:sp macro="" textlink="'Lessons Data'!D45">
      <xdr:nvSpPr>
        <xdr:cNvPr id="4" name="Rectangle 3">
          <a:extLst>
            <a:ext uri="{FF2B5EF4-FFF2-40B4-BE49-F238E27FC236}">
              <a16:creationId xmlns:a16="http://schemas.microsoft.com/office/drawing/2014/main" id="{4EC9F74D-D405-4C70-ACCB-FBBF41E3262C}"/>
            </a:ext>
          </a:extLst>
        </xdr:cNvPr>
        <xdr:cNvSpPr/>
      </xdr:nvSpPr>
      <xdr:spPr>
        <a:xfrm>
          <a:off x="5494020" y="154686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5524FFE1-C0D7-4463-988C-B751DEA0A695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3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16</xdr:col>
      <xdr:colOff>0</xdr:colOff>
      <xdr:row>12</xdr:row>
      <xdr:rowOff>0</xdr:rowOff>
    </xdr:to>
    <xdr:sp macro="" textlink="'Lessons Data'!D41">
      <xdr:nvSpPr>
        <xdr:cNvPr id="5" name="Rectangle 4">
          <a:extLst>
            <a:ext uri="{FF2B5EF4-FFF2-40B4-BE49-F238E27FC236}">
              <a16:creationId xmlns:a16="http://schemas.microsoft.com/office/drawing/2014/main" id="{2AE8AEA1-90D7-431F-9D7F-1FFB2703CEC1}"/>
            </a:ext>
          </a:extLst>
        </xdr:cNvPr>
        <xdr:cNvSpPr/>
      </xdr:nvSpPr>
      <xdr:spPr>
        <a:xfrm>
          <a:off x="7924800" y="1531620"/>
          <a:ext cx="1828800" cy="914400"/>
        </a:xfrm>
        <a:prstGeom prst="rect">
          <a:avLst/>
        </a:prstGeom>
        <a:solidFill>
          <a:srgbClr val="EAF2FB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BFE38E9-D394-4BB0-9844-6340D80EADD7}" type="TxLink">
            <a:rPr lang="en-US" sz="2400" b="1" i="0" u="none" strike="noStrike">
              <a:solidFill>
                <a:srgbClr val="000000"/>
              </a:solidFill>
              <a:latin typeface="Times New Roman"/>
              <a:ea typeface="+mn-ea"/>
              <a:cs typeface="Times New Roman"/>
            </a:rPr>
            <a:pPr marL="0" indent="0" algn="ctr"/>
            <a:t> 2,290.00 zł </a:t>
          </a:fld>
          <a:endParaRPr lang="en-GB" sz="2400" b="1" i="0" u="none" strike="noStrike">
            <a:solidFill>
              <a:srgbClr val="000000"/>
            </a:solidFill>
            <a:latin typeface="Times New Roman"/>
            <a:ea typeface="+mn-ea"/>
            <a:cs typeface="Times New Roman"/>
          </a:endParaRPr>
        </a:p>
      </xdr:txBody>
    </xdr:sp>
    <xdr:clientData/>
  </xdr:twoCellAnchor>
  <xdr:twoCellAnchor>
    <xdr:from>
      <xdr:col>1</xdr:col>
      <xdr:colOff>0</xdr:colOff>
      <xdr:row>4</xdr:row>
      <xdr:rowOff>76200</xdr:rowOff>
    </xdr:from>
    <xdr:to>
      <xdr:col>4</xdr:col>
      <xdr:colOff>0</xdr:colOff>
      <xdr:row>6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CAF3977-2960-4D74-B5CC-9A02F71FE85B}"/>
            </a:ext>
          </a:extLst>
        </xdr:cNvPr>
        <xdr:cNvSpPr txBox="1"/>
      </xdr:nvSpPr>
      <xdr:spPr>
        <a:xfrm>
          <a:off x="609600" y="1051560"/>
          <a:ext cx="182880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 b="1"/>
            <a:t>Active Students</a:t>
          </a:r>
          <a:endParaRPr lang="en-GB" sz="1400" b="1"/>
        </a:p>
      </xdr:txBody>
    </xdr:sp>
    <xdr:clientData/>
  </xdr:twoCellAnchor>
  <xdr:twoCellAnchor>
    <xdr:from>
      <xdr:col>5</xdr:col>
      <xdr:colOff>7620</xdr:colOff>
      <xdr:row>4</xdr:row>
      <xdr:rowOff>76200</xdr:rowOff>
    </xdr:from>
    <xdr:to>
      <xdr:col>8</xdr:col>
      <xdr:colOff>7620</xdr:colOff>
      <xdr:row>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A90EE0-B356-4E61-B9B0-0037828DC597}"/>
            </a:ext>
          </a:extLst>
        </xdr:cNvPr>
        <xdr:cNvSpPr txBox="1"/>
      </xdr:nvSpPr>
      <xdr:spPr>
        <a:xfrm>
          <a:off x="3055620" y="1051560"/>
          <a:ext cx="182880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Lessons Completed</a:t>
          </a:r>
          <a:r>
            <a:rPr lang="en-GB" sz="1400"/>
            <a:t> </a:t>
          </a:r>
          <a:endParaRPr lang="en-GB" sz="1400" b="1"/>
        </a:p>
      </xdr:txBody>
    </xdr:sp>
    <xdr:clientData/>
  </xdr:twoCellAnchor>
  <xdr:twoCellAnchor>
    <xdr:from>
      <xdr:col>9</xdr:col>
      <xdr:colOff>0</xdr:colOff>
      <xdr:row>4</xdr:row>
      <xdr:rowOff>76200</xdr:rowOff>
    </xdr:from>
    <xdr:to>
      <xdr:col>12</xdr:col>
      <xdr:colOff>0</xdr:colOff>
      <xdr:row>6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56AE6C1-9EF9-4827-9134-D002DA20170F}"/>
            </a:ext>
          </a:extLst>
        </xdr:cNvPr>
        <xdr:cNvSpPr txBox="1"/>
      </xdr:nvSpPr>
      <xdr:spPr>
        <a:xfrm>
          <a:off x="5486400" y="1051560"/>
          <a:ext cx="182880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Packages Purchased </a:t>
          </a:r>
        </a:p>
      </xdr:txBody>
    </xdr:sp>
    <xdr:clientData/>
  </xdr:twoCellAnchor>
  <xdr:twoCellAnchor>
    <xdr:from>
      <xdr:col>13</xdr:col>
      <xdr:colOff>0</xdr:colOff>
      <xdr:row>4</xdr:row>
      <xdr:rowOff>76200</xdr:rowOff>
    </xdr:from>
    <xdr:to>
      <xdr:col>16</xdr:col>
      <xdr:colOff>0</xdr:colOff>
      <xdr:row>5</xdr:row>
      <xdr:rowOff>175260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896961-BCE0-4D17-ACCE-C1C1DEE440B1}"/>
            </a:ext>
          </a:extLst>
        </xdr:cNvPr>
        <xdr:cNvSpPr txBox="1"/>
      </xdr:nvSpPr>
      <xdr:spPr>
        <a:xfrm>
          <a:off x="7924800" y="1051560"/>
          <a:ext cx="18288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Income from Lessons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7</xdr:col>
      <xdr:colOff>608400</xdr:colOff>
      <xdr:row>29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6A90CB4-F98D-46A9-88DE-7C3CA8F0E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AB6BB6-EAE5-4001-B073-56ED4BB50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627a9f491b663a8/Desktop/&#1041;&#1102;&#1076;&#1078;&#1077;&#1090;(&#1082;&#1074;&#1110;&#1090;&#1077;&#1085;&#1100;).xlsm" TargetMode="External"/><Relationship Id="rId1" Type="http://schemas.openxmlformats.org/officeDocument/2006/relationships/externalLinkPath" Target="&#1041;&#1102;&#1076;&#1078;&#1077;&#1090;(&#1082;&#1074;&#1110;&#1090;&#1077;&#1085;&#1100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Квітень (Бюджет)"/>
      <sheetName val="Квітень(Витрати)"/>
      <sheetName val="Квітень(Додаткові)"/>
      <sheetName val="Т(Б)"/>
      <sheetName val="Т(В)"/>
      <sheetName val="Т(Д)"/>
      <sheetName val="Ч(Б)"/>
      <sheetName val="Ч(В)"/>
      <sheetName val="Ч(Д)"/>
      <sheetName val="Л(Б)"/>
      <sheetName val="Л(В)"/>
      <sheetName val="Л(Д)"/>
      <sheetName val="C(Б)"/>
      <sheetName val="С(В)"/>
      <sheetName val="С(Д)"/>
      <sheetName val="В(Б)"/>
      <sheetName val="В(В)"/>
      <sheetName val="В(Д)"/>
      <sheetName val="Ж(Б)"/>
      <sheetName val="Ж(В)"/>
      <sheetName val="Ж(Д)"/>
      <sheetName val="Лст(Б)"/>
      <sheetName val="Лст(В)"/>
      <sheetName val="Лст(Д)"/>
      <sheetName val="Г(Б)"/>
      <sheetName val="Г(В)"/>
      <sheetName val="Г(Д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2">
          <cell r="B12">
            <v>1550.58</v>
          </cell>
        </row>
      </sheetData>
      <sheetData sheetId="19"/>
      <sheetData sheetId="20">
        <row r="42">
          <cell r="E42">
            <v>0</v>
          </cell>
        </row>
        <row r="43">
          <cell r="E43">
            <v>2</v>
          </cell>
        </row>
        <row r="44">
          <cell r="E44">
            <v>6</v>
          </cell>
        </row>
      </sheetData>
      <sheetData sheetId="21"/>
      <sheetData sheetId="22">
        <row r="35">
          <cell r="G35">
            <v>4378.63</v>
          </cell>
        </row>
      </sheetData>
      <sheetData sheetId="23">
        <row r="41">
          <cell r="D41">
            <v>2290</v>
          </cell>
        </row>
      </sheetData>
      <sheetData sheetId="24"/>
      <sheetData sheetId="25"/>
      <sheetData sheetId="2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12"/>
  <sheetViews>
    <sheetView workbookViewId="0">
      <selection activeCell="C17" sqref="C17"/>
    </sheetView>
  </sheetViews>
  <sheetFormatPr defaultRowHeight="14.4" x14ac:dyDescent="0.3"/>
  <cols>
    <col min="1" max="1" width="41.5546875" bestFit="1" customWidth="1"/>
    <col min="2" max="2" width="29.33203125" bestFit="1" customWidth="1"/>
    <col min="3" max="3" width="11.44140625" bestFit="1" customWidth="1"/>
  </cols>
  <sheetData>
    <row r="5" spans="1:3" ht="22.8" x14ac:dyDescent="0.4">
      <c r="A5" s="2" t="s">
        <v>1</v>
      </c>
      <c r="B5" s="24">
        <f>'[1]Ж(Б)'!B12</f>
        <v>1550.58</v>
      </c>
      <c r="C5" s="1"/>
    </row>
    <row r="6" spans="1:3" ht="22.8" x14ac:dyDescent="0.4">
      <c r="A6" s="2" t="s">
        <v>2</v>
      </c>
      <c r="B6" s="24">
        <f>B7+B8</f>
        <v>9810.07</v>
      </c>
      <c r="C6" s="1"/>
    </row>
    <row r="7" spans="1:3" ht="22.8" x14ac:dyDescent="0.4">
      <c r="A7" s="2" t="s">
        <v>3</v>
      </c>
      <c r="B7" s="24">
        <v>7510.07</v>
      </c>
      <c r="C7" s="1"/>
    </row>
    <row r="8" spans="1:3" ht="22.8" x14ac:dyDescent="0.4">
      <c r="A8" s="2" t="s">
        <v>4</v>
      </c>
      <c r="B8" s="24">
        <f>'[1]Лст(Д)'!D41+10</f>
        <v>2300</v>
      </c>
      <c r="C8" s="1"/>
    </row>
    <row r="9" spans="1:3" ht="22.8" x14ac:dyDescent="0.4">
      <c r="A9" s="2" t="s">
        <v>5</v>
      </c>
      <c r="B9" s="24">
        <v>2500</v>
      </c>
      <c r="C9" s="1"/>
    </row>
    <row r="10" spans="1:3" ht="22.8" x14ac:dyDescent="0.4">
      <c r="A10" s="2" t="s">
        <v>6</v>
      </c>
      <c r="B10" s="24">
        <f>'[1]Лст(В)'!G35</f>
        <v>4378.63</v>
      </c>
      <c r="C10" s="1"/>
    </row>
    <row r="11" spans="1:3" ht="22.8" x14ac:dyDescent="0.4">
      <c r="A11" s="2" t="s">
        <v>43</v>
      </c>
      <c r="B11" s="24">
        <f>1500</f>
        <v>1500</v>
      </c>
      <c r="C11" s="1"/>
    </row>
    <row r="12" spans="1:3" ht="35.4" x14ac:dyDescent="0.6">
      <c r="A12" s="3" t="s">
        <v>7</v>
      </c>
      <c r="B12" s="25">
        <f>B6+B5-(B9+B10+B11)</f>
        <v>2982.0199999999986</v>
      </c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A9D6-8376-449E-AD68-098982DCBDF8}">
  <dimension ref="A3:AG36"/>
  <sheetViews>
    <sheetView zoomScale="70" zoomScaleNormal="70" workbookViewId="0">
      <selection activeCell="G35" sqref="G35"/>
    </sheetView>
  </sheetViews>
  <sheetFormatPr defaultRowHeight="14.4" x14ac:dyDescent="0.3"/>
  <cols>
    <col min="1" max="1" width="2" bestFit="1" customWidth="1"/>
    <col min="2" max="2" width="6.44140625" bestFit="1" customWidth="1"/>
    <col min="3" max="3" width="11.6640625" bestFit="1" customWidth="1"/>
    <col min="4" max="4" width="10.5546875" bestFit="1" customWidth="1"/>
    <col min="5" max="5" width="8.6640625" bestFit="1" customWidth="1"/>
    <col min="7" max="7" width="13.88671875" bestFit="1" customWidth="1"/>
    <col min="8" max="8" width="10.5546875" bestFit="1" customWidth="1"/>
    <col min="9" max="9" width="15.21875" bestFit="1" customWidth="1"/>
  </cols>
  <sheetData>
    <row r="3" spans="1:33" ht="18" x14ac:dyDescent="0.35">
      <c r="A3" s="5"/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8" x14ac:dyDescent="0.35">
      <c r="A4" s="5"/>
      <c r="B4" s="7">
        <v>1</v>
      </c>
      <c r="C4" s="7">
        <v>0</v>
      </c>
      <c r="D4" s="7">
        <v>0</v>
      </c>
      <c r="E4" s="7">
        <v>0</v>
      </c>
      <c r="F4" s="7">
        <f>79+17.9-20</f>
        <v>76.900000000000006</v>
      </c>
      <c r="G4" s="5">
        <f>SUM(C4:F4)</f>
        <v>76.900000000000006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8" x14ac:dyDescent="0.35">
      <c r="A5" s="5"/>
      <c r="B5" s="7">
        <v>2</v>
      </c>
      <c r="C5" s="7">
        <v>0</v>
      </c>
      <c r="D5" s="7">
        <v>0</v>
      </c>
      <c r="E5" s="7">
        <v>0</v>
      </c>
      <c r="F5" s="7">
        <v>0</v>
      </c>
      <c r="G5" s="5">
        <f t="shared" ref="G5:G34" si="0">SUM(C5:F5)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8" x14ac:dyDescent="0.35">
      <c r="A6" s="5"/>
      <c r="B6" s="7">
        <v>3</v>
      </c>
      <c r="C6" s="7">
        <f>58.98</f>
        <v>58.98</v>
      </c>
      <c r="D6" s="7">
        <v>0</v>
      </c>
      <c r="E6" s="7">
        <v>0</v>
      </c>
      <c r="F6" s="7">
        <v>0</v>
      </c>
      <c r="G6" s="5">
        <f t="shared" si="0"/>
        <v>58.98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8" x14ac:dyDescent="0.35">
      <c r="A7" s="5"/>
      <c r="B7" s="7">
        <v>4</v>
      </c>
      <c r="C7" s="7">
        <f>39.35</f>
        <v>39.35</v>
      </c>
      <c r="D7" s="7">
        <v>0</v>
      </c>
      <c r="E7" s="7">
        <v>0</v>
      </c>
      <c r="F7" s="7">
        <v>0</v>
      </c>
      <c r="G7" s="5">
        <f t="shared" si="0"/>
        <v>39.35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8" x14ac:dyDescent="0.35">
      <c r="A8" s="5"/>
      <c r="B8" s="7">
        <v>5</v>
      </c>
      <c r="C8" s="7">
        <v>0</v>
      </c>
      <c r="D8" s="7">
        <v>0</v>
      </c>
      <c r="E8" s="7">
        <v>0</v>
      </c>
      <c r="F8" s="7">
        <v>4</v>
      </c>
      <c r="G8" s="5">
        <f t="shared" si="0"/>
        <v>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8" x14ac:dyDescent="0.35">
      <c r="B9" s="7">
        <v>6</v>
      </c>
      <c r="C9" s="7">
        <v>0</v>
      </c>
      <c r="D9" s="7">
        <v>0</v>
      </c>
      <c r="E9" s="7">
        <v>0</v>
      </c>
      <c r="F9" s="7">
        <v>0</v>
      </c>
      <c r="G9" s="5">
        <f t="shared" si="0"/>
        <v>0</v>
      </c>
    </row>
    <row r="10" spans="1:33" ht="18" x14ac:dyDescent="0.35">
      <c r="B10" s="7">
        <v>7</v>
      </c>
      <c r="C10" s="7">
        <v>0</v>
      </c>
      <c r="D10" s="7">
        <v>0</v>
      </c>
      <c r="E10" s="7">
        <v>0</v>
      </c>
      <c r="F10" s="7">
        <f>16.15</f>
        <v>16.149999999999999</v>
      </c>
      <c r="G10" s="5">
        <f t="shared" si="0"/>
        <v>16.149999999999999</v>
      </c>
    </row>
    <row r="11" spans="1:33" ht="18" x14ac:dyDescent="0.35">
      <c r="B11" s="7">
        <v>8</v>
      </c>
      <c r="C11" s="7">
        <f>166.58+6.49+6.38+16.48</f>
        <v>195.93</v>
      </c>
      <c r="D11" s="7">
        <v>0</v>
      </c>
      <c r="E11" s="7">
        <v>0</v>
      </c>
      <c r="F11" s="7">
        <f>39.9+83.71</f>
        <v>123.60999999999999</v>
      </c>
      <c r="G11" s="5">
        <f t="shared" si="0"/>
        <v>319.53999999999996</v>
      </c>
    </row>
    <row r="12" spans="1:33" ht="18" x14ac:dyDescent="0.35">
      <c r="B12" s="7">
        <v>9</v>
      </c>
      <c r="C12" s="7">
        <v>0</v>
      </c>
      <c r="D12" s="7">
        <v>0</v>
      </c>
      <c r="E12" s="7">
        <v>0</v>
      </c>
      <c r="F12" s="7">
        <f>61.5</f>
        <v>61.5</v>
      </c>
      <c r="G12" s="5">
        <f t="shared" si="0"/>
        <v>61.5</v>
      </c>
    </row>
    <row r="13" spans="1:33" ht="18" x14ac:dyDescent="0.35">
      <c r="B13" s="7">
        <v>10</v>
      </c>
      <c r="C13" s="7">
        <f>103.24+6.38</f>
        <v>109.61999999999999</v>
      </c>
      <c r="D13" s="7">
        <v>0</v>
      </c>
      <c r="E13" s="7">
        <f>218.5</f>
        <v>218.5</v>
      </c>
      <c r="F13" s="7">
        <f>22.4</f>
        <v>22.4</v>
      </c>
      <c r="G13" s="5">
        <f t="shared" si="0"/>
        <v>350.52</v>
      </c>
    </row>
    <row r="14" spans="1:33" ht="18" x14ac:dyDescent="0.35">
      <c r="B14" s="7">
        <v>11</v>
      </c>
      <c r="C14" s="7">
        <v>0</v>
      </c>
      <c r="D14" s="7">
        <v>0</v>
      </c>
      <c r="E14" s="7">
        <v>0</v>
      </c>
      <c r="F14" s="7">
        <f>31.55</f>
        <v>31.55</v>
      </c>
      <c r="G14" s="5">
        <f t="shared" si="0"/>
        <v>31.55</v>
      </c>
    </row>
    <row r="15" spans="1:33" ht="18" x14ac:dyDescent="0.35">
      <c r="B15" s="7">
        <v>12</v>
      </c>
      <c r="C15" s="7">
        <f>107.7</f>
        <v>107.7</v>
      </c>
      <c r="D15" s="7">
        <f>7.5</f>
        <v>7.5</v>
      </c>
      <c r="E15" s="7">
        <v>0</v>
      </c>
      <c r="F15" s="7">
        <f>12.8</f>
        <v>12.8</v>
      </c>
      <c r="G15" s="5">
        <f t="shared" si="0"/>
        <v>128</v>
      </c>
    </row>
    <row r="16" spans="1:33" ht="18" x14ac:dyDescent="0.35">
      <c r="B16" s="7">
        <v>13</v>
      </c>
      <c r="C16" s="7">
        <f>24.67+7.98</f>
        <v>32.650000000000006</v>
      </c>
      <c r="D16" s="7">
        <v>0</v>
      </c>
      <c r="E16" s="7">
        <v>0</v>
      </c>
      <c r="F16" s="7">
        <v>0</v>
      </c>
      <c r="G16" s="5">
        <f t="shared" si="0"/>
        <v>32.650000000000006</v>
      </c>
    </row>
    <row r="17" spans="2:7" ht="18" x14ac:dyDescent="0.35">
      <c r="B17" s="7">
        <v>14</v>
      </c>
      <c r="C17" s="7">
        <f>70.79</f>
        <v>70.790000000000006</v>
      </c>
      <c r="D17" s="7">
        <v>0</v>
      </c>
      <c r="E17" s="7">
        <v>0</v>
      </c>
      <c r="F17" s="7">
        <f>28+29+12.8</f>
        <v>69.8</v>
      </c>
      <c r="G17" s="5">
        <f t="shared" si="0"/>
        <v>140.59</v>
      </c>
    </row>
    <row r="18" spans="2:7" ht="18" x14ac:dyDescent="0.35">
      <c r="B18" s="7">
        <v>15</v>
      </c>
      <c r="C18" s="7">
        <f>153</f>
        <v>153</v>
      </c>
      <c r="D18" s="7">
        <v>0</v>
      </c>
      <c r="E18" s="7">
        <v>0</v>
      </c>
      <c r="F18" s="7">
        <v>0</v>
      </c>
      <c r="G18" s="5">
        <f t="shared" si="0"/>
        <v>153</v>
      </c>
    </row>
    <row r="19" spans="2:7" ht="18" x14ac:dyDescent="0.35">
      <c r="B19" s="7">
        <v>16</v>
      </c>
      <c r="C19" s="7">
        <v>0</v>
      </c>
      <c r="D19" s="7">
        <v>0</v>
      </c>
      <c r="E19" s="7">
        <v>0</v>
      </c>
      <c r="F19" s="7">
        <v>0</v>
      </c>
      <c r="G19" s="5">
        <f t="shared" si="0"/>
        <v>0</v>
      </c>
    </row>
    <row r="20" spans="2:7" ht="18" x14ac:dyDescent="0.35">
      <c r="B20" s="7">
        <v>17</v>
      </c>
      <c r="C20" s="7">
        <f>6.38</f>
        <v>6.38</v>
      </c>
      <c r="D20" s="7">
        <f>39.95</f>
        <v>39.950000000000003</v>
      </c>
      <c r="E20" s="7">
        <v>0</v>
      </c>
      <c r="F20" s="7">
        <f>135.83+399.25+18.4</f>
        <v>553.48</v>
      </c>
      <c r="G20" s="5">
        <f t="shared" si="0"/>
        <v>599.81000000000006</v>
      </c>
    </row>
    <row r="21" spans="2:7" ht="18" x14ac:dyDescent="0.35">
      <c r="B21" s="7">
        <v>18</v>
      </c>
      <c r="C21" s="7">
        <f>116.41+6.98</f>
        <v>123.39</v>
      </c>
      <c r="D21" s="7">
        <v>0</v>
      </c>
      <c r="E21" s="7">
        <v>0</v>
      </c>
      <c r="F21" s="7">
        <v>0</v>
      </c>
      <c r="G21" s="5">
        <f t="shared" si="0"/>
        <v>123.39</v>
      </c>
    </row>
    <row r="22" spans="2:7" ht="18" x14ac:dyDescent="0.35">
      <c r="B22" s="7">
        <v>19</v>
      </c>
      <c r="C22" s="7">
        <f>84.55</f>
        <v>84.55</v>
      </c>
      <c r="D22" s="7">
        <v>0</v>
      </c>
      <c r="E22" s="7">
        <v>0</v>
      </c>
      <c r="F22" s="7">
        <f>50+20</f>
        <v>70</v>
      </c>
      <c r="G22" s="5">
        <f t="shared" si="0"/>
        <v>154.55000000000001</v>
      </c>
    </row>
    <row r="23" spans="2:7" ht="18" x14ac:dyDescent="0.35">
      <c r="B23" s="7">
        <v>20</v>
      </c>
      <c r="C23" s="7">
        <f>68.51+6.38+83.27</f>
        <v>158.16</v>
      </c>
      <c r="D23" s="7">
        <v>0</v>
      </c>
      <c r="E23" s="7">
        <v>0</v>
      </c>
      <c r="F23" s="7">
        <f>20.8</f>
        <v>20.8</v>
      </c>
      <c r="G23" s="5">
        <f t="shared" si="0"/>
        <v>178.96</v>
      </c>
    </row>
    <row r="24" spans="2:7" ht="18" x14ac:dyDescent="0.35">
      <c r="B24" s="7">
        <v>21</v>
      </c>
      <c r="C24" s="7">
        <v>0</v>
      </c>
      <c r="D24" s="7">
        <v>0</v>
      </c>
      <c r="E24" s="7">
        <v>0</v>
      </c>
      <c r="F24" s="7">
        <v>0</v>
      </c>
      <c r="G24" s="5">
        <f t="shared" si="0"/>
        <v>0</v>
      </c>
    </row>
    <row r="25" spans="2:7" ht="18" x14ac:dyDescent="0.35">
      <c r="B25" s="7">
        <v>22</v>
      </c>
      <c r="C25" s="7">
        <f>132.31</f>
        <v>132.31</v>
      </c>
      <c r="D25" s="7">
        <v>0</v>
      </c>
      <c r="E25" s="7">
        <v>0</v>
      </c>
      <c r="F25" s="7">
        <f>110</f>
        <v>110</v>
      </c>
      <c r="G25" s="5">
        <f t="shared" si="0"/>
        <v>242.31</v>
      </c>
    </row>
    <row r="26" spans="2:7" ht="18" x14ac:dyDescent="0.35">
      <c r="B26" s="7">
        <v>23</v>
      </c>
      <c r="C26" s="7">
        <v>0</v>
      </c>
      <c r="D26" s="7">
        <v>0</v>
      </c>
      <c r="E26" s="7">
        <v>0</v>
      </c>
      <c r="F26" s="7">
        <f>4+4</f>
        <v>8</v>
      </c>
      <c r="G26" s="5">
        <f t="shared" si="0"/>
        <v>8</v>
      </c>
    </row>
    <row r="27" spans="2:7" ht="18" x14ac:dyDescent="0.35">
      <c r="B27" s="7">
        <v>24</v>
      </c>
      <c r="C27" s="7">
        <f>55.43+28.78</f>
        <v>84.210000000000008</v>
      </c>
      <c r="D27" s="8">
        <v>0</v>
      </c>
      <c r="E27" s="7">
        <v>0</v>
      </c>
      <c r="F27" s="7">
        <f>5</f>
        <v>5</v>
      </c>
      <c r="G27" s="5">
        <f t="shared" si="0"/>
        <v>89.210000000000008</v>
      </c>
    </row>
    <row r="28" spans="2:7" ht="18" x14ac:dyDescent="0.35">
      <c r="B28" s="7">
        <v>25</v>
      </c>
      <c r="C28" s="7">
        <v>0</v>
      </c>
      <c r="D28" s="7">
        <v>0</v>
      </c>
      <c r="E28" s="7">
        <v>0</v>
      </c>
      <c r="F28" s="7">
        <v>0</v>
      </c>
      <c r="G28" s="5">
        <f t="shared" si="0"/>
        <v>0</v>
      </c>
    </row>
    <row r="29" spans="2:7" ht="18" x14ac:dyDescent="0.35">
      <c r="B29" s="7">
        <v>26</v>
      </c>
      <c r="C29" s="7">
        <f>6.38+289.27</f>
        <v>295.64999999999998</v>
      </c>
      <c r="D29" s="7">
        <v>0</v>
      </c>
      <c r="E29" s="7">
        <v>0</v>
      </c>
      <c r="F29" s="7">
        <v>0</v>
      </c>
      <c r="G29" s="5">
        <f t="shared" si="0"/>
        <v>295.64999999999998</v>
      </c>
    </row>
    <row r="30" spans="2:7" ht="18" x14ac:dyDescent="0.35">
      <c r="B30" s="7">
        <v>27</v>
      </c>
      <c r="C30" s="7">
        <f>18.68+6.99</f>
        <v>25.67</v>
      </c>
      <c r="D30" s="7">
        <v>0</v>
      </c>
      <c r="E30" s="7">
        <v>0</v>
      </c>
      <c r="F30" s="7">
        <v>0</v>
      </c>
      <c r="G30" s="5">
        <f t="shared" si="0"/>
        <v>25.67</v>
      </c>
    </row>
    <row r="31" spans="2:7" ht="18" x14ac:dyDescent="0.35">
      <c r="B31" s="7">
        <v>28</v>
      </c>
      <c r="C31" s="7">
        <v>0</v>
      </c>
      <c r="D31" s="7">
        <v>0</v>
      </c>
      <c r="E31" s="7">
        <f>467.95</f>
        <v>467.95</v>
      </c>
      <c r="F31" s="7">
        <f>20.8+206.95+89.5+234+45+39+6.4+17.9-340</f>
        <v>319.54999999999995</v>
      </c>
      <c r="G31" s="5">
        <f t="shared" si="0"/>
        <v>787.5</v>
      </c>
    </row>
    <row r="32" spans="2:7" ht="18" x14ac:dyDescent="0.35">
      <c r="B32" s="7">
        <v>29</v>
      </c>
      <c r="C32" s="7">
        <f>122.26+21.77</f>
        <v>144.03</v>
      </c>
      <c r="D32" s="7">
        <v>0</v>
      </c>
      <c r="E32" s="7">
        <v>0</v>
      </c>
      <c r="F32" s="7">
        <f>6.4</f>
        <v>6.4</v>
      </c>
      <c r="G32" s="5">
        <f t="shared" si="0"/>
        <v>150.43</v>
      </c>
    </row>
    <row r="33" spans="2:7" ht="18" x14ac:dyDescent="0.35">
      <c r="B33" s="7">
        <v>30</v>
      </c>
      <c r="C33" s="7">
        <v>0</v>
      </c>
      <c r="D33" s="7">
        <v>0</v>
      </c>
      <c r="E33" s="7">
        <v>0</v>
      </c>
      <c r="F33" s="7">
        <f>85.88+117.57+106.97</f>
        <v>310.41999999999996</v>
      </c>
      <c r="G33" s="5">
        <f t="shared" si="0"/>
        <v>310.41999999999996</v>
      </c>
    </row>
    <row r="34" spans="2:7" ht="18" x14ac:dyDescent="0.35">
      <c r="B34" s="7">
        <v>31</v>
      </c>
      <c r="C34" s="7">
        <v>0</v>
      </c>
      <c r="D34" s="7">
        <v>0</v>
      </c>
      <c r="E34" s="7">
        <v>0</v>
      </c>
      <c r="F34" s="7">
        <v>0</v>
      </c>
      <c r="G34" s="5">
        <f t="shared" si="0"/>
        <v>0</v>
      </c>
    </row>
    <row r="35" spans="2:7" ht="18" x14ac:dyDescent="0.35">
      <c r="B35" s="9" t="s">
        <v>13</v>
      </c>
      <c r="C35" s="9">
        <f>SUM(C4:C34)</f>
        <v>1822.3700000000001</v>
      </c>
      <c r="D35" s="9">
        <f>SUM(D4:D34)</f>
        <v>47.45</v>
      </c>
      <c r="E35" s="9">
        <f>SUM(E4:E34)</f>
        <v>686.45</v>
      </c>
      <c r="F35" s="9">
        <f>SUM(F4:F34)</f>
        <v>1822.3600000000001</v>
      </c>
      <c r="G35" s="26">
        <f>SUM(G4:G34)</f>
        <v>4378.63</v>
      </c>
    </row>
    <row r="36" spans="2:7" x14ac:dyDescent="0.3">
      <c r="F36" t="s">
        <v>0</v>
      </c>
    </row>
  </sheetData>
  <conditionalFormatting sqref="C4:F3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C35:F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AF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AF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G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808-0D24-4087-A8A3-5A2E837CBEF9}">
  <dimension ref="B3:AJ77"/>
  <sheetViews>
    <sheetView topLeftCell="A11" zoomScale="70" zoomScaleNormal="70" workbookViewId="0">
      <selection activeCell="E50" sqref="E50"/>
    </sheetView>
  </sheetViews>
  <sheetFormatPr defaultRowHeight="14.4" x14ac:dyDescent="0.3"/>
  <cols>
    <col min="1" max="1" width="9.6640625" bestFit="1" customWidth="1"/>
    <col min="2" max="2" width="16.6640625" bestFit="1" customWidth="1"/>
    <col min="3" max="3" width="11.6640625" bestFit="1" customWidth="1"/>
    <col min="4" max="4" width="16.6640625" bestFit="1" customWidth="1"/>
    <col min="5" max="5" width="17.77734375" bestFit="1" customWidth="1"/>
    <col min="6" max="7" width="10.21875" bestFit="1" customWidth="1"/>
    <col min="8" max="8" width="11.21875" bestFit="1" customWidth="1"/>
    <col min="9" max="9" width="11.6640625" bestFit="1" customWidth="1"/>
    <col min="10" max="11" width="11.5546875" bestFit="1" customWidth="1"/>
    <col min="12" max="12" width="10.21875" bestFit="1" customWidth="1"/>
    <col min="13" max="13" width="10.77734375" bestFit="1" customWidth="1"/>
    <col min="14" max="14" width="9.33203125" bestFit="1" customWidth="1"/>
    <col min="15" max="15" width="5.5546875" bestFit="1" customWidth="1"/>
    <col min="16" max="16" width="10.21875" bestFit="1" customWidth="1"/>
    <col min="17" max="17" width="5" bestFit="1" customWidth="1"/>
    <col min="18" max="18" width="10.21875" bestFit="1" customWidth="1"/>
    <col min="19" max="19" width="5" bestFit="1" customWidth="1"/>
    <col min="20" max="20" width="10.21875" bestFit="1" customWidth="1"/>
    <col min="21" max="21" width="5" bestFit="1" customWidth="1"/>
    <col min="22" max="22" width="10.21875" bestFit="1" customWidth="1"/>
    <col min="23" max="23" width="5" bestFit="1" customWidth="1"/>
    <col min="24" max="24" width="10.21875" bestFit="1" customWidth="1"/>
    <col min="25" max="25" width="5" bestFit="1" customWidth="1"/>
    <col min="26" max="26" width="10.21875" bestFit="1" customWidth="1"/>
    <col min="27" max="27" width="5" bestFit="1" customWidth="1"/>
    <col min="28" max="28" width="10.21875" bestFit="1" customWidth="1"/>
    <col min="29" max="29" width="5" bestFit="1" customWidth="1"/>
    <col min="30" max="31" width="8.21875" bestFit="1" customWidth="1"/>
    <col min="32" max="32" width="11.21875" bestFit="1" customWidth="1"/>
    <col min="33" max="33" width="9.109375" bestFit="1" customWidth="1"/>
    <col min="34" max="34" width="6.6640625" bestFit="1" customWidth="1"/>
    <col min="35" max="35" width="8.88671875" bestFit="1" customWidth="1"/>
    <col min="36" max="36" width="7.44140625" bestFit="1" customWidth="1"/>
    <col min="37" max="37" width="10.44140625" bestFit="1" customWidth="1"/>
    <col min="39" max="39" width="7.44140625" bestFit="1" customWidth="1"/>
    <col min="40" max="40" width="6.88671875" bestFit="1" customWidth="1"/>
    <col min="42" max="43" width="10.5546875" bestFit="1" customWidth="1"/>
  </cols>
  <sheetData>
    <row r="3" spans="2:36" x14ac:dyDescent="0.3">
      <c r="B3" s="10" t="s">
        <v>25</v>
      </c>
      <c r="C3" s="10" t="s">
        <v>33</v>
      </c>
      <c r="D3" s="10" t="s">
        <v>34</v>
      </c>
      <c r="H3" s="28"/>
      <c r="I3" s="28"/>
      <c r="J3" s="28"/>
      <c r="K3" s="28"/>
    </row>
    <row r="4" spans="2:36" x14ac:dyDescent="0.3">
      <c r="B4" s="12"/>
      <c r="C4" s="13"/>
      <c r="D4" s="14"/>
      <c r="H4" s="11" t="s">
        <v>42</v>
      </c>
      <c r="I4" s="11" t="s">
        <v>25</v>
      </c>
      <c r="J4" s="11" t="s">
        <v>21</v>
      </c>
      <c r="K4" s="11" t="s">
        <v>22</v>
      </c>
    </row>
    <row r="5" spans="2:36" x14ac:dyDescent="0.3">
      <c r="B5" s="15" t="s">
        <v>18</v>
      </c>
      <c r="C5" s="15">
        <v>700</v>
      </c>
      <c r="D5" s="15">
        <f>COUNTIF($C$13:$C$15,B5)+COUNTIF($C$21:$C$23,B5)+COUNTIF($C$28:$C$30,B5)+COUNTIF($C$35:$C$37,B5)</f>
        <v>1</v>
      </c>
      <c r="H5" s="11"/>
      <c r="I5" s="11"/>
      <c r="J5" s="11"/>
      <c r="K5" s="11"/>
    </row>
    <row r="6" spans="2:36" x14ac:dyDescent="0.3">
      <c r="B6" s="11" t="s">
        <v>17</v>
      </c>
      <c r="C6" s="11">
        <v>510</v>
      </c>
      <c r="D6" s="15">
        <f t="shared" ref="D6:D8" si="0">COUNTIF($C$13:$C$15,B6)+COUNTIF($C$21:$C$23,B6)+COUNTIF($C$28:$C$30,B6)+COUNTIF($C$35:$C$37,B6)</f>
        <v>2</v>
      </c>
      <c r="H6" s="9" t="s">
        <v>14</v>
      </c>
      <c r="I6" s="9" t="s">
        <v>17</v>
      </c>
      <c r="J6" s="16">
        <v>45969</v>
      </c>
      <c r="K6" s="16">
        <f>DATE(YEAR(J6),MONTH(J6),DAY(J6)+10*7)</f>
        <v>46039</v>
      </c>
    </row>
    <row r="7" spans="2:36" x14ac:dyDescent="0.3">
      <c r="B7" s="11" t="s">
        <v>19</v>
      </c>
      <c r="C7" s="11">
        <v>360</v>
      </c>
      <c r="D7" s="15">
        <f t="shared" si="0"/>
        <v>0</v>
      </c>
      <c r="H7" s="9" t="s">
        <v>16</v>
      </c>
      <c r="I7" s="9" t="s">
        <v>17</v>
      </c>
      <c r="J7" s="16">
        <v>45985</v>
      </c>
      <c r="K7" s="16">
        <f t="shared" ref="K7:K8" si="1">DATE(YEAR(J7),MONTH(J7),DAY(J7)+10*7)</f>
        <v>46055</v>
      </c>
    </row>
    <row r="8" spans="2:36" x14ac:dyDescent="0.3">
      <c r="B8" s="11" t="s">
        <v>20</v>
      </c>
      <c r="C8" s="11">
        <v>265</v>
      </c>
      <c r="D8" s="15">
        <f t="shared" si="0"/>
        <v>0</v>
      </c>
      <c r="H8" s="9" t="s">
        <v>15</v>
      </c>
      <c r="I8" s="9" t="s">
        <v>18</v>
      </c>
      <c r="J8" s="16">
        <v>45983</v>
      </c>
      <c r="K8" s="16">
        <f t="shared" si="1"/>
        <v>46053</v>
      </c>
      <c r="M8" s="17"/>
    </row>
    <row r="9" spans="2:36" x14ac:dyDescent="0.3">
      <c r="M9" s="17"/>
    </row>
    <row r="10" spans="2:36" x14ac:dyDescent="0.3">
      <c r="B10" s="27" t="s">
        <v>37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/>
      <c r="N10" s="27" t="s">
        <v>37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spans="2:36" x14ac:dyDescent="0.3">
      <c r="B11" s="9"/>
      <c r="C11" s="11" t="s">
        <v>25</v>
      </c>
      <c r="D11" s="12" t="s">
        <v>34</v>
      </c>
      <c r="E11" s="12" t="s">
        <v>41</v>
      </c>
      <c r="F11" s="12" t="s">
        <v>26</v>
      </c>
      <c r="G11" s="12" t="s">
        <v>27</v>
      </c>
      <c r="H11" s="12" t="s">
        <v>28</v>
      </c>
      <c r="I11" s="12" t="s">
        <v>29</v>
      </c>
      <c r="J11" s="12" t="s">
        <v>30</v>
      </c>
      <c r="K11" s="12" t="s">
        <v>31</v>
      </c>
      <c r="L11" s="11" t="s">
        <v>32</v>
      </c>
      <c r="M11" s="17"/>
      <c r="N11" s="9"/>
      <c r="O11" s="11" t="s">
        <v>33</v>
      </c>
      <c r="P11" s="28" t="s">
        <v>26</v>
      </c>
      <c r="Q11" s="28"/>
      <c r="R11" s="28" t="s">
        <v>27</v>
      </c>
      <c r="S11" s="28"/>
      <c r="T11" s="28" t="s">
        <v>28</v>
      </c>
      <c r="U11" s="28"/>
      <c r="V11" s="28" t="s">
        <v>29</v>
      </c>
      <c r="W11" s="28"/>
      <c r="X11" s="28" t="s">
        <v>30</v>
      </c>
      <c r="Y11" s="28"/>
      <c r="Z11" s="28" t="s">
        <v>31</v>
      </c>
      <c r="AA11" s="28"/>
      <c r="AB11" s="28" t="s">
        <v>32</v>
      </c>
      <c r="AC11" s="28"/>
      <c r="AD11" s="9" t="s">
        <v>26</v>
      </c>
      <c r="AE11" s="9" t="s">
        <v>27</v>
      </c>
      <c r="AF11" s="9" t="s">
        <v>28</v>
      </c>
      <c r="AG11" s="9" t="s">
        <v>29</v>
      </c>
      <c r="AH11" s="9" t="s">
        <v>30</v>
      </c>
      <c r="AI11" s="9" t="s">
        <v>31</v>
      </c>
      <c r="AJ11" s="9" t="s">
        <v>32</v>
      </c>
    </row>
    <row r="12" spans="2:36" x14ac:dyDescent="0.3">
      <c r="B12" s="9"/>
      <c r="C12" s="11"/>
      <c r="D12" s="11"/>
      <c r="E12" s="11"/>
      <c r="F12" s="11" t="s">
        <v>23</v>
      </c>
      <c r="G12" s="11" t="s">
        <v>23</v>
      </c>
      <c r="H12" s="11" t="s">
        <v>23</v>
      </c>
      <c r="I12" s="11" t="s">
        <v>23</v>
      </c>
      <c r="J12" s="11" t="s">
        <v>23</v>
      </c>
      <c r="K12" s="11" t="s">
        <v>23</v>
      </c>
      <c r="L12" s="11" t="s">
        <v>23</v>
      </c>
      <c r="N12" s="9"/>
      <c r="O12" s="9"/>
      <c r="P12" s="11" t="s">
        <v>23</v>
      </c>
      <c r="Q12" s="11" t="s">
        <v>24</v>
      </c>
      <c r="R12" s="11" t="s">
        <v>23</v>
      </c>
      <c r="S12" s="11" t="s">
        <v>24</v>
      </c>
      <c r="T12" s="11" t="s">
        <v>23</v>
      </c>
      <c r="U12" s="11" t="s">
        <v>24</v>
      </c>
      <c r="V12" s="11" t="s">
        <v>23</v>
      </c>
      <c r="W12" s="11" t="s">
        <v>24</v>
      </c>
      <c r="X12" s="11" t="s">
        <v>23</v>
      </c>
      <c r="Y12" s="11" t="s">
        <v>24</v>
      </c>
      <c r="Z12" s="11" t="s">
        <v>23</v>
      </c>
      <c r="AA12" s="11" t="s">
        <v>24</v>
      </c>
      <c r="AB12" s="11" t="s">
        <v>23</v>
      </c>
      <c r="AC12" s="11" t="s">
        <v>24</v>
      </c>
      <c r="AD12" s="9"/>
      <c r="AE12" s="9"/>
      <c r="AF12" s="9"/>
      <c r="AG12" s="9"/>
      <c r="AH12" s="9"/>
      <c r="AI12" s="9"/>
      <c r="AJ12" s="9"/>
    </row>
    <row r="13" spans="2:36" x14ac:dyDescent="0.3">
      <c r="B13" s="9" t="s">
        <v>14</v>
      </c>
      <c r="C13" s="9" t="s">
        <v>17</v>
      </c>
      <c r="D13" s="11">
        <f>IF(C13=$B$76,$B$77,IF(C13=$C$76,$C$77,IF(C13=$D$76,$D$77,IF(C13=$E$76,$E$77,'[1]Ж(Д)'!E42))))</f>
        <v>10</v>
      </c>
      <c r="E13" s="11">
        <f>IFERROR(D13-(COUNTIF(F13,TRUE)+COUNTIF(G13,TRUE)+COUNTIF(H13,TRUE)+COUNTIF(I13,TRUE)+COUNTIF(J13,TRUE)+COUNTIF(K13,TRUE)+COUNTIF(L13,TRUE))," ")</f>
        <v>8</v>
      </c>
      <c r="F13" s="18" t="b">
        <v>0</v>
      </c>
      <c r="G13" s="18" t="b">
        <v>0</v>
      </c>
      <c r="H13" s="18" t="b">
        <v>0</v>
      </c>
      <c r="I13" s="18" t="b">
        <v>0</v>
      </c>
      <c r="J13" s="18" t="b">
        <v>1</v>
      </c>
      <c r="K13" s="18" t="b">
        <v>1</v>
      </c>
      <c r="L13" s="18" t="b">
        <v>0</v>
      </c>
      <c r="N13" s="11" t="s">
        <v>35</v>
      </c>
      <c r="O13" s="11">
        <v>55</v>
      </c>
      <c r="P13" s="18" t="b">
        <v>0</v>
      </c>
      <c r="Q13" s="18" t="b">
        <v>0</v>
      </c>
      <c r="R13" s="18" t="b">
        <v>1</v>
      </c>
      <c r="S13" s="18" t="b">
        <v>1</v>
      </c>
      <c r="T13" s="18" t="b">
        <v>0</v>
      </c>
      <c r="U13" s="18" t="b">
        <v>0</v>
      </c>
      <c r="V13" s="18" t="b">
        <v>1</v>
      </c>
      <c r="W13" s="18" t="b">
        <v>1</v>
      </c>
      <c r="X13" s="18" t="b">
        <v>0</v>
      </c>
      <c r="Y13" s="18" t="b">
        <v>0</v>
      </c>
      <c r="Z13" s="18" t="b">
        <v>0</v>
      </c>
      <c r="AA13" s="18" t="b">
        <v>0</v>
      </c>
      <c r="AB13" s="18" t="b">
        <v>0</v>
      </c>
      <c r="AC13" s="18" t="b">
        <v>0</v>
      </c>
      <c r="AD13" s="11" t="str">
        <f>IF(AND(P13=TRUE,Q13=TRUE),$O13,IF(P13=TRUE,"Completed",IF(Q13=TRUE,"Paid","-")))</f>
        <v>-</v>
      </c>
      <c r="AE13" s="11">
        <f>IF(AND(R13=TRUE,S13=TRUE),$O13,IF(R13=TRUE,"Completed",IF(S13=TRUE,"Paid","-")))</f>
        <v>55</v>
      </c>
      <c r="AF13" s="11" t="str">
        <f>IF(AND(T13=TRUE,U13=TRUE),$O13,IF(T13=TRUE,"Completed",IF(U13=TRUE,"Paid","-")))</f>
        <v>-</v>
      </c>
      <c r="AG13" s="11">
        <f>IF(AND(V13=TRUE,W13=TRUE),$O13,IF(V13=TRUE,"Completed",IF(W13=TRUE,"Paid","-")))</f>
        <v>55</v>
      </c>
      <c r="AH13" s="11" t="str">
        <f>IF(AND(X13=TRUE,Y13=TRUE),$O13,IF(X13=TRUE,"Completed",IF(Y13=TRUE,"Paid","-")))</f>
        <v>-</v>
      </c>
      <c r="AI13" s="11" t="str">
        <f>IF(AND(Z13=TRUE,AA13=TRUE),$O13,IF(Z13=TRUE,"Completed",IF(AA13=TRUE,"Paid","-")))</f>
        <v>-</v>
      </c>
      <c r="AJ13" s="11" t="str">
        <f>IF(AND(AB13=TRUE,AC13=TRUE),$O13,IF(AB13=TRUE,"Completed",IF(AC13=TRUE,"Paid","-")))</f>
        <v>-</v>
      </c>
    </row>
    <row r="14" spans="2:36" x14ac:dyDescent="0.3">
      <c r="B14" s="9" t="s">
        <v>15</v>
      </c>
      <c r="C14" s="9"/>
      <c r="D14" s="11">
        <f>IF(C14=$B$76,$B$77,IF(C14=$C$76,$C$77,IF(C14=$D$76,$D$77,IF(C14=$E$76,$E$77,'[1]Ж(Д)'!E43))))</f>
        <v>2</v>
      </c>
      <c r="E14" s="11">
        <f>IFERROR(D14-(COUNTIF(F14,TRUE)+COUNTIF(G14,TRUE)+COUNTIF(H14,TRUE)+COUNTIF(I14,TRUE)+COUNTIF(J14,TRUE)+COUNTIF(K14,TRUE)+COUNTIF(L14,TRUE))," ")</f>
        <v>1</v>
      </c>
      <c r="F14" s="18" t="b">
        <v>0</v>
      </c>
      <c r="G14" s="18" t="b">
        <v>0</v>
      </c>
      <c r="H14" s="18" t="b">
        <v>0</v>
      </c>
      <c r="I14" s="18" t="b">
        <v>0</v>
      </c>
      <c r="J14" s="18" t="b">
        <v>0</v>
      </c>
      <c r="K14" s="18" t="b">
        <v>1</v>
      </c>
      <c r="L14" s="18" t="b">
        <v>0</v>
      </c>
      <c r="N14" s="11" t="s">
        <v>36</v>
      </c>
      <c r="O14" s="11">
        <v>80</v>
      </c>
      <c r="P14" s="18" t="b">
        <v>0</v>
      </c>
      <c r="Q14" s="18" t="b">
        <v>0</v>
      </c>
      <c r="R14" s="18" t="b">
        <v>1</v>
      </c>
      <c r="S14" s="18" t="b">
        <v>1</v>
      </c>
      <c r="T14" s="18" t="b">
        <v>0</v>
      </c>
      <c r="U14" s="18" t="b">
        <v>0</v>
      </c>
      <c r="V14" s="18" t="b">
        <v>0</v>
      </c>
      <c r="W14" s="18" t="b">
        <v>0</v>
      </c>
      <c r="X14" s="18" t="b">
        <v>0</v>
      </c>
      <c r="Y14" s="18" t="b">
        <v>0</v>
      </c>
      <c r="Z14" s="18" t="b">
        <v>0</v>
      </c>
      <c r="AA14" s="18" t="b">
        <v>0</v>
      </c>
      <c r="AB14" s="18" t="b">
        <v>0</v>
      </c>
      <c r="AC14" s="18" t="b">
        <v>0</v>
      </c>
      <c r="AD14" s="11" t="str">
        <f>IF(AND(P14=TRUE,Q14=TRUE),$O14,IF(P14=TRUE,"Completed",IF(Q14=TRUE,"Paid","-")))</f>
        <v>-</v>
      </c>
      <c r="AE14" s="11">
        <f>IF(AND(R14=TRUE,S14=TRUE),$O14,IF(R14=TRUE,"Completed",IF(S14=TRUE,"Paid","-")))</f>
        <v>80</v>
      </c>
      <c r="AF14" s="11" t="str">
        <f>IF(AND(T14=TRUE,U14=TRUE),$O14,IF(T14=TRUE,"Completed",IF(U14=TRUE,"Paid","-")))</f>
        <v>-</v>
      </c>
      <c r="AG14" s="11" t="str">
        <f>IF(AND(V14=TRUE,W14=TRUE),$O14,IF(V14=TRUE,"Completed",IF(W14=TRUE,"Paid","-")))</f>
        <v>-</v>
      </c>
      <c r="AH14" s="11" t="str">
        <f>IF(AND(X14=TRUE,Y14=TRUE),$O14,IF(X14=TRUE,"Completed",IF(Y14=TRUE,"Paid","-")))</f>
        <v>-</v>
      </c>
      <c r="AI14" s="11" t="str">
        <f>IF(AND(Z14=TRUE,AA14=TRUE),$O14,IF(Z14=TRUE,"Completed",IF(AA14=TRUE,"Paid","-")))</f>
        <v>-</v>
      </c>
      <c r="AJ14" s="11" t="str">
        <f>IF(AND(AB14=TRUE,AC14=TRUE),$O14,IF(AB14=TRUE,"Completed",IF(AC14=TRUE,"Paid","-")))</f>
        <v>-</v>
      </c>
    </row>
    <row r="15" spans="2:36" x14ac:dyDescent="0.3">
      <c r="B15" s="9" t="s">
        <v>16</v>
      </c>
      <c r="C15" s="9"/>
      <c r="D15" s="11">
        <f>IF(C15=$B$76,$B$77,IF(C15=$C$76,$C$77,IF(C15=$D$76,$D$77,IF(C15=$E$76,$E$77,'[1]Ж(Д)'!E44))))</f>
        <v>6</v>
      </c>
      <c r="E15" s="11">
        <f>IFERROR(D15-(COUNTIF(F15,TRUE)+COUNTIF(G15,TRUE)+COUNTIF(H15,TRUE)+COUNTIF(I15,TRUE)+COUNTIF(J15,TRUE)+COUNTIF(K15,TRUE)+COUNTIF(L15,TRUE))," ")</f>
        <v>4</v>
      </c>
      <c r="F15" s="18" t="b">
        <v>1</v>
      </c>
      <c r="G15" s="18" t="b">
        <v>0</v>
      </c>
      <c r="H15" s="18" t="b">
        <v>1</v>
      </c>
      <c r="I15" s="18" t="b">
        <v>0</v>
      </c>
      <c r="J15" s="18" t="b">
        <v>0</v>
      </c>
      <c r="K15" s="18" t="b">
        <v>0</v>
      </c>
      <c r="L15" s="18" t="b">
        <v>0</v>
      </c>
    </row>
    <row r="16" spans="2:36" x14ac:dyDescent="0.3">
      <c r="H16" s="17"/>
      <c r="I16" s="19"/>
      <c r="J16" s="19"/>
      <c r="M16" s="17"/>
    </row>
    <row r="17" spans="2:36" x14ac:dyDescent="0.3">
      <c r="M17" s="17"/>
    </row>
    <row r="18" spans="2:36" x14ac:dyDescent="0.3">
      <c r="B18" s="27" t="s">
        <v>38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17"/>
      <c r="N18" s="27" t="s">
        <v>38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2:36" x14ac:dyDescent="0.3">
      <c r="B19" s="9"/>
      <c r="C19" s="11" t="s">
        <v>25</v>
      </c>
      <c r="D19" s="12" t="s">
        <v>34</v>
      </c>
      <c r="E19" s="12" t="s">
        <v>41</v>
      </c>
      <c r="F19" s="12" t="s">
        <v>26</v>
      </c>
      <c r="G19" s="12" t="s">
        <v>27</v>
      </c>
      <c r="H19" s="12" t="s">
        <v>28</v>
      </c>
      <c r="I19" s="12" t="s">
        <v>29</v>
      </c>
      <c r="J19" s="12" t="s">
        <v>30</v>
      </c>
      <c r="K19" s="12" t="s">
        <v>31</v>
      </c>
      <c r="L19" s="12" t="s">
        <v>32</v>
      </c>
      <c r="M19" s="17"/>
      <c r="N19" s="9"/>
      <c r="O19" s="11" t="s">
        <v>33</v>
      </c>
      <c r="P19" s="28" t="s">
        <v>26</v>
      </c>
      <c r="Q19" s="28"/>
      <c r="R19" s="28" t="s">
        <v>27</v>
      </c>
      <c r="S19" s="28"/>
      <c r="T19" s="28" t="s">
        <v>28</v>
      </c>
      <c r="U19" s="28"/>
      <c r="V19" s="28" t="s">
        <v>29</v>
      </c>
      <c r="W19" s="28"/>
      <c r="X19" s="28" t="s">
        <v>30</v>
      </c>
      <c r="Y19" s="28"/>
      <c r="Z19" s="28" t="s">
        <v>31</v>
      </c>
      <c r="AA19" s="28"/>
      <c r="AB19" s="28" t="s">
        <v>32</v>
      </c>
      <c r="AC19" s="28"/>
      <c r="AD19" s="9" t="s">
        <v>26</v>
      </c>
      <c r="AE19" s="9" t="s">
        <v>27</v>
      </c>
      <c r="AF19" s="9" t="s">
        <v>28</v>
      </c>
      <c r="AG19" s="9" t="s">
        <v>29</v>
      </c>
      <c r="AH19" s="9" t="s">
        <v>30</v>
      </c>
      <c r="AI19" s="9" t="s">
        <v>31</v>
      </c>
      <c r="AJ19" s="9" t="s">
        <v>32</v>
      </c>
    </row>
    <row r="20" spans="2:36" x14ac:dyDescent="0.3">
      <c r="B20" s="9"/>
      <c r="C20" s="11"/>
      <c r="D20" s="11"/>
      <c r="E20" s="11"/>
      <c r="F20" s="11" t="s">
        <v>23</v>
      </c>
      <c r="G20" s="11" t="s">
        <v>23</v>
      </c>
      <c r="H20" s="11" t="s">
        <v>23</v>
      </c>
      <c r="I20" s="11" t="s">
        <v>23</v>
      </c>
      <c r="J20" s="11" t="s">
        <v>23</v>
      </c>
      <c r="K20" s="11" t="s">
        <v>23</v>
      </c>
      <c r="L20" s="11" t="s">
        <v>23</v>
      </c>
      <c r="N20" s="9"/>
      <c r="O20" s="9"/>
      <c r="P20" s="11" t="s">
        <v>23</v>
      </c>
      <c r="Q20" s="11" t="s">
        <v>24</v>
      </c>
      <c r="R20" s="11" t="s">
        <v>23</v>
      </c>
      <c r="S20" s="11" t="s">
        <v>24</v>
      </c>
      <c r="T20" s="11" t="s">
        <v>23</v>
      </c>
      <c r="U20" s="11" t="s">
        <v>24</v>
      </c>
      <c r="V20" s="11" t="s">
        <v>23</v>
      </c>
      <c r="W20" s="11" t="s">
        <v>24</v>
      </c>
      <c r="X20" s="11" t="s">
        <v>23</v>
      </c>
      <c r="Y20" s="11" t="s">
        <v>24</v>
      </c>
      <c r="Z20" s="11" t="s">
        <v>23</v>
      </c>
      <c r="AA20" s="11" t="s">
        <v>24</v>
      </c>
      <c r="AB20" s="11" t="s">
        <v>23</v>
      </c>
      <c r="AC20" s="11" t="s">
        <v>24</v>
      </c>
      <c r="AD20" s="9"/>
      <c r="AE20" s="9"/>
      <c r="AF20" s="9"/>
      <c r="AG20" s="9"/>
      <c r="AH20" s="9"/>
      <c r="AI20" s="9"/>
      <c r="AJ20" s="9"/>
    </row>
    <row r="21" spans="2:36" x14ac:dyDescent="0.3">
      <c r="B21" s="9" t="s">
        <v>14</v>
      </c>
      <c r="C21" s="9"/>
      <c r="D21" s="11">
        <f>IF(C21=$B$76,$B$77,IF(C21=$C$76,$C$77,IF(C21=$D$76,$D$77,IF(C21=$E$76,$E$77,E13))))</f>
        <v>8</v>
      </c>
      <c r="E21" s="11">
        <f>IFERROR(D21-(COUNTIF(F21,TRUE)+COUNTIF(G21,TRUE)+COUNTIF(H21,TRUE)+COUNTIF(I21,TRUE)+COUNTIF(J21,TRUE)+COUNTIF(K21,TRUE)+COUNTIF(L21,TRUE))," ")</f>
        <v>6</v>
      </c>
      <c r="F21" s="18" t="b">
        <v>0</v>
      </c>
      <c r="G21" s="18" t="b">
        <v>0</v>
      </c>
      <c r="H21" s="18" t="b">
        <v>0</v>
      </c>
      <c r="I21" s="18" t="b">
        <v>0</v>
      </c>
      <c r="J21" s="18" t="b">
        <v>1</v>
      </c>
      <c r="K21" s="18" t="b">
        <v>1</v>
      </c>
      <c r="L21" s="18" t="b">
        <v>0</v>
      </c>
      <c r="N21" s="11" t="s">
        <v>35</v>
      </c>
      <c r="O21" s="11">
        <v>55</v>
      </c>
      <c r="P21" s="18" t="b">
        <v>0</v>
      </c>
      <c r="Q21" s="18" t="b">
        <v>0</v>
      </c>
      <c r="R21" s="18" t="b">
        <v>1</v>
      </c>
      <c r="S21" s="18" t="b">
        <v>1</v>
      </c>
      <c r="T21" s="18" t="b">
        <v>0</v>
      </c>
      <c r="U21" s="18" t="b">
        <v>0</v>
      </c>
      <c r="V21" s="18" t="b">
        <v>1</v>
      </c>
      <c r="W21" s="18" t="b">
        <v>1</v>
      </c>
      <c r="X21" s="18" t="b">
        <v>0</v>
      </c>
      <c r="Y21" s="18" t="b">
        <v>0</v>
      </c>
      <c r="Z21" s="18" t="b">
        <v>0</v>
      </c>
      <c r="AA21" s="18" t="b">
        <v>0</v>
      </c>
      <c r="AB21" s="18" t="b">
        <v>0</v>
      </c>
      <c r="AC21" s="18" t="b">
        <v>0</v>
      </c>
      <c r="AD21" s="11" t="str">
        <f>IF(AND(P21=TRUE,Q21=TRUE),$O21,IF(P21=TRUE,"Completed",IF(Q21=TRUE,"Paid","-")))</f>
        <v>-</v>
      </c>
      <c r="AE21" s="11">
        <f>IF(AND(R21=TRUE,S21=TRUE),$O21,IF(R21=TRUE,"Completed",IF(S21=TRUE,"Paid","-")))</f>
        <v>55</v>
      </c>
      <c r="AF21" s="11" t="str">
        <f>IF(AND(T21=TRUE,U21=TRUE),$O21,IF(T21=TRUE,"Completed",IF(U21=TRUE,"Paid","-")))</f>
        <v>-</v>
      </c>
      <c r="AG21" s="11">
        <f>IF(AND(V21=TRUE,W21=TRUE),$O21,IF(V21=TRUE,"Completed",IF(W21=TRUE,"Paid","-")))</f>
        <v>55</v>
      </c>
      <c r="AH21" s="11" t="str">
        <f>IF(AND(X21=TRUE,Y21=TRUE),$O21,IF(X21=TRUE,"Completed",IF(Y21=TRUE,"Paid","-")))</f>
        <v>-</v>
      </c>
      <c r="AI21" s="11" t="str">
        <f>IF(AND(Z21=TRUE,AA21=TRUE),$O21,IF(Z21=TRUE,"Completed",IF(AA21=TRUE,"Paid","-")))</f>
        <v>-</v>
      </c>
      <c r="AJ21" s="11" t="str">
        <f>IF(AND(AB21=TRUE,AC21=TRUE),$O21,IF(AB21=TRUE,"Completed",IF(AC21=TRUE,"Paid","-")))</f>
        <v>-</v>
      </c>
    </row>
    <row r="22" spans="2:36" x14ac:dyDescent="0.3">
      <c r="B22" s="9" t="s">
        <v>15</v>
      </c>
      <c r="C22" s="9"/>
      <c r="D22" s="11">
        <f t="shared" ref="D22:D23" si="2">IF(C22=$B$76,$B$77,IF(C22=$C$76,$C$77,IF(C22=$D$76,$D$77,IF(C22=$E$76,$E$77,E14))))</f>
        <v>1</v>
      </c>
      <c r="E22" s="11">
        <f>IFERROR(D22-(COUNTIF(F22,TRUE)+COUNTIF(G22,TRUE)+COUNTIF(H22,TRUE)+COUNTIF(I22,TRUE)+COUNTIF(J22,TRUE)+COUNTIF(K22,TRUE)+COUNTIF(L22,TRUE))," ")</f>
        <v>0</v>
      </c>
      <c r="F22" s="18" t="b">
        <v>0</v>
      </c>
      <c r="G22" s="18" t="b">
        <v>0</v>
      </c>
      <c r="H22" s="18" t="b">
        <v>0</v>
      </c>
      <c r="I22" s="18" t="b">
        <v>0</v>
      </c>
      <c r="J22" s="18" t="b">
        <v>0</v>
      </c>
      <c r="K22" s="18" t="b">
        <v>1</v>
      </c>
      <c r="L22" s="18" t="b">
        <v>0</v>
      </c>
      <c r="N22" s="11" t="s">
        <v>36</v>
      </c>
      <c r="O22" s="11">
        <v>80</v>
      </c>
      <c r="P22" s="18" t="b">
        <v>0</v>
      </c>
      <c r="Q22" s="18" t="b">
        <v>0</v>
      </c>
      <c r="R22" s="18" t="b">
        <v>0</v>
      </c>
      <c r="S22" s="18" t="b">
        <v>0</v>
      </c>
      <c r="T22" s="18" t="b">
        <v>0</v>
      </c>
      <c r="U22" s="18" t="b">
        <v>0</v>
      </c>
      <c r="V22" s="18" t="b">
        <v>0</v>
      </c>
      <c r="W22" s="18" t="b">
        <v>0</v>
      </c>
      <c r="X22" s="18" t="b">
        <v>0</v>
      </c>
      <c r="Y22" s="18" t="b">
        <v>0</v>
      </c>
      <c r="Z22" s="18" t="b">
        <v>0</v>
      </c>
      <c r="AA22" s="18" t="b">
        <v>0</v>
      </c>
      <c r="AB22" s="18" t="b">
        <v>0</v>
      </c>
      <c r="AC22" s="18" t="b">
        <v>0</v>
      </c>
      <c r="AD22" s="11" t="str">
        <f>IF(AND(P22=TRUE,Q22=TRUE),$O22,IF(P22=TRUE,"Completed",IF(Q22=TRUE,"Paid","-")))</f>
        <v>-</v>
      </c>
      <c r="AE22" s="11" t="str">
        <f>IF(AND(R22=TRUE,S22=TRUE),$O22,IF(R22=TRUE,"Completed",IF(S22=TRUE,"Paid","-")))</f>
        <v>-</v>
      </c>
      <c r="AF22" s="11" t="str">
        <f>IF(AND(T22=TRUE,U22=TRUE),$O22,IF(T22=TRUE,"Completed",IF(U22=TRUE,"Paid","-")))</f>
        <v>-</v>
      </c>
      <c r="AG22" s="11" t="str">
        <f>IF(AND(V22=TRUE,W22=TRUE),$O22,IF(V22=TRUE,"Completed",IF(W22=TRUE,"Paid","-")))</f>
        <v>-</v>
      </c>
      <c r="AH22" s="11" t="str">
        <f>IF(AND(X22=TRUE,Y22=TRUE),$O22,IF(X22=TRUE,"Completed",IF(Y22=TRUE,"Paid","-")))</f>
        <v>-</v>
      </c>
      <c r="AI22" s="11" t="str">
        <f>IF(AND(Z22=TRUE,AA22=TRUE),$O22,IF(Z22=TRUE,"Completed",IF(AA22=TRUE,"Paid","-")))</f>
        <v>-</v>
      </c>
      <c r="AJ22" s="11" t="str">
        <f>IF(AND(AB22=TRUE,AC22=TRUE),$O22,IF(AB22=TRUE,"Completed",IF(AC22=TRUE,"Paid","-")))</f>
        <v>-</v>
      </c>
    </row>
    <row r="23" spans="2:36" x14ac:dyDescent="0.3">
      <c r="B23" s="9" t="s">
        <v>16</v>
      </c>
      <c r="C23" s="9"/>
      <c r="D23" s="11">
        <f t="shared" si="2"/>
        <v>4</v>
      </c>
      <c r="E23" s="11">
        <f>IFERROR(D23-(COUNTIF(F23,TRUE)+COUNTIF(G23,TRUE)+COUNTIF(H23,TRUE)+COUNTIF(I23,TRUE)+COUNTIF(J23,TRUE)+COUNTIF(K23,TRUE)+COUNTIF(L23,TRUE))," ")</f>
        <v>2</v>
      </c>
      <c r="F23" s="18" t="b">
        <v>1</v>
      </c>
      <c r="G23" s="18" t="b">
        <v>0</v>
      </c>
      <c r="H23" s="18" t="b">
        <v>1</v>
      </c>
      <c r="I23" s="18" t="b">
        <v>0</v>
      </c>
      <c r="J23" s="18" t="b">
        <v>0</v>
      </c>
      <c r="K23" s="18" t="b">
        <v>0</v>
      </c>
      <c r="L23" s="18" t="b">
        <v>0</v>
      </c>
      <c r="M23" s="17"/>
    </row>
    <row r="24" spans="2:36" x14ac:dyDescent="0.3">
      <c r="G24" s="20"/>
      <c r="H24" s="20"/>
      <c r="I24" s="20"/>
      <c r="J24" s="20"/>
      <c r="K24" s="20"/>
      <c r="L24" s="20"/>
      <c r="M24" s="17"/>
    </row>
    <row r="25" spans="2:36" x14ac:dyDescent="0.3">
      <c r="B25" s="27" t="s">
        <v>39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17"/>
      <c r="N25" s="27" t="s">
        <v>39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</row>
    <row r="26" spans="2:36" x14ac:dyDescent="0.3">
      <c r="B26" s="9"/>
      <c r="C26" s="11" t="s">
        <v>25</v>
      </c>
      <c r="D26" s="12" t="s">
        <v>34</v>
      </c>
      <c r="E26" s="12" t="s">
        <v>41</v>
      </c>
      <c r="F26" s="12" t="s">
        <v>26</v>
      </c>
      <c r="G26" s="12" t="s">
        <v>27</v>
      </c>
      <c r="H26" s="12" t="s">
        <v>28</v>
      </c>
      <c r="I26" s="12" t="s">
        <v>29</v>
      </c>
      <c r="J26" s="12" t="s">
        <v>30</v>
      </c>
      <c r="K26" s="12" t="s">
        <v>31</v>
      </c>
      <c r="L26" s="12" t="s">
        <v>32</v>
      </c>
      <c r="M26" s="17"/>
      <c r="N26" s="9"/>
      <c r="O26" s="11" t="s">
        <v>33</v>
      </c>
      <c r="P26" s="28" t="s">
        <v>26</v>
      </c>
      <c r="Q26" s="28"/>
      <c r="R26" s="28" t="s">
        <v>27</v>
      </c>
      <c r="S26" s="28"/>
      <c r="T26" s="28" t="s">
        <v>28</v>
      </c>
      <c r="U26" s="28"/>
      <c r="V26" s="28" t="s">
        <v>29</v>
      </c>
      <c r="W26" s="28"/>
      <c r="X26" s="28" t="s">
        <v>30</v>
      </c>
      <c r="Y26" s="28"/>
      <c r="Z26" s="28" t="s">
        <v>31</v>
      </c>
      <c r="AA26" s="28"/>
      <c r="AB26" s="28" t="s">
        <v>32</v>
      </c>
      <c r="AC26" s="28"/>
      <c r="AD26" s="9" t="s">
        <v>26</v>
      </c>
      <c r="AE26" s="9" t="s">
        <v>27</v>
      </c>
      <c r="AF26" s="9" t="s">
        <v>28</v>
      </c>
      <c r="AG26" s="9" t="s">
        <v>29</v>
      </c>
      <c r="AH26" s="9" t="s">
        <v>30</v>
      </c>
      <c r="AI26" s="9" t="s">
        <v>31</v>
      </c>
      <c r="AJ26" s="9" t="s">
        <v>32</v>
      </c>
    </row>
    <row r="27" spans="2:36" x14ac:dyDescent="0.3">
      <c r="B27" s="9"/>
      <c r="C27" s="11"/>
      <c r="D27" s="11"/>
      <c r="E27" s="11"/>
      <c r="F27" s="11" t="s">
        <v>23</v>
      </c>
      <c r="G27" s="11" t="s">
        <v>23</v>
      </c>
      <c r="H27" s="11" t="s">
        <v>23</v>
      </c>
      <c r="I27" s="11" t="s">
        <v>23</v>
      </c>
      <c r="J27" s="11" t="s">
        <v>23</v>
      </c>
      <c r="K27" s="11" t="s">
        <v>23</v>
      </c>
      <c r="L27" s="11" t="s">
        <v>23</v>
      </c>
      <c r="N27" s="9"/>
      <c r="O27" s="9"/>
      <c r="P27" s="11" t="s">
        <v>23</v>
      </c>
      <c r="Q27" s="11" t="s">
        <v>24</v>
      </c>
      <c r="R27" s="11" t="s">
        <v>23</v>
      </c>
      <c r="S27" s="11" t="s">
        <v>24</v>
      </c>
      <c r="T27" s="11" t="s">
        <v>23</v>
      </c>
      <c r="U27" s="11" t="s">
        <v>24</v>
      </c>
      <c r="V27" s="11" t="s">
        <v>23</v>
      </c>
      <c r="W27" s="11" t="s">
        <v>24</v>
      </c>
      <c r="X27" s="11" t="s">
        <v>23</v>
      </c>
      <c r="Y27" s="11" t="s">
        <v>24</v>
      </c>
      <c r="Z27" s="11" t="s">
        <v>23</v>
      </c>
      <c r="AA27" s="11" t="s">
        <v>24</v>
      </c>
      <c r="AB27" s="11" t="s">
        <v>23</v>
      </c>
      <c r="AC27" s="11" t="s">
        <v>24</v>
      </c>
      <c r="AD27" s="9"/>
      <c r="AE27" s="9"/>
      <c r="AF27" s="9"/>
      <c r="AG27" s="9"/>
      <c r="AH27" s="9"/>
      <c r="AI27" s="9"/>
      <c r="AJ27" s="9"/>
    </row>
    <row r="28" spans="2:36" x14ac:dyDescent="0.3">
      <c r="B28" s="9" t="s">
        <v>14</v>
      </c>
      <c r="C28" s="9"/>
      <c r="D28" s="11">
        <f>IF(C28=$B$76,$B$77,IF(C28=$C$76,$C$77,IF(C28=$D$76,$D$77,IF(C28=$E$76,$E$77,E21))))</f>
        <v>6</v>
      </c>
      <c r="E28" s="11">
        <f>IFERROR(D28-(COUNTIF(F28,TRUE)+COUNTIF(G28,TRUE)+COUNTIF(H28,TRUE)+COUNTIF(I28,TRUE)+COUNTIF(J28,TRUE)+COUNTIF(K28,TRUE)+COUNTIF(L28,TRUE))," ")</f>
        <v>4</v>
      </c>
      <c r="F28" s="18" t="b">
        <v>0</v>
      </c>
      <c r="G28" s="18" t="b">
        <v>0</v>
      </c>
      <c r="H28" s="18" t="b">
        <v>0</v>
      </c>
      <c r="I28" s="18" t="b">
        <v>0</v>
      </c>
      <c r="J28" s="18" t="b">
        <v>1</v>
      </c>
      <c r="K28" s="18" t="b">
        <v>1</v>
      </c>
      <c r="L28" s="18" t="b">
        <v>0</v>
      </c>
      <c r="N28" s="11" t="s">
        <v>35</v>
      </c>
      <c r="O28" s="11">
        <v>55</v>
      </c>
      <c r="P28" s="18" t="b">
        <v>0</v>
      </c>
      <c r="Q28" s="18" t="b">
        <v>0</v>
      </c>
      <c r="R28" s="18" t="b">
        <v>0</v>
      </c>
      <c r="S28" s="18" t="b">
        <v>0</v>
      </c>
      <c r="T28" s="18" t="b">
        <v>0</v>
      </c>
      <c r="U28" s="18" t="b">
        <v>0</v>
      </c>
      <c r="V28" s="18" t="b">
        <v>0</v>
      </c>
      <c r="W28" s="18" t="b">
        <v>0</v>
      </c>
      <c r="X28" s="18" t="b">
        <v>0</v>
      </c>
      <c r="Y28" s="18" t="b">
        <v>0</v>
      </c>
      <c r="Z28" s="18" t="b">
        <v>0</v>
      </c>
      <c r="AA28" s="18" t="b">
        <v>0</v>
      </c>
      <c r="AB28" s="18" t="b">
        <v>0</v>
      </c>
      <c r="AC28" s="18" t="b">
        <v>0</v>
      </c>
      <c r="AD28" s="11" t="str">
        <f>IF(AND(P28=TRUE,Q28=TRUE),$O28,IF(P28=TRUE,"Completed",IF(Q28=TRUE,"Paid","-")))</f>
        <v>-</v>
      </c>
      <c r="AE28" s="11" t="str">
        <f>IF(AND(R28=TRUE,S28=TRUE),$O28,IF(R28=TRUE,"Completed",IF(S28=TRUE,"Paid","-")))</f>
        <v>-</v>
      </c>
      <c r="AF28" s="11" t="str">
        <f>IF(AND(T28=TRUE,U28=TRUE),$O28,IF(T28=TRUE,"Completed",IF(U28=TRUE,"Paid","-")))</f>
        <v>-</v>
      </c>
      <c r="AG28" s="11" t="str">
        <f>IF(AND(V28=TRUE,W28=TRUE),$O28,IF(V28=TRUE,"Completed",IF(W28=TRUE,"Paid","-")))</f>
        <v>-</v>
      </c>
      <c r="AH28" s="11" t="str">
        <f>IF(AND(X28=TRUE,Y28=TRUE),$O28,IF(X28=TRUE,"Completed",IF(Y28=TRUE,"Paid","-")))</f>
        <v>-</v>
      </c>
      <c r="AI28" s="11" t="str">
        <f>IF(AND(Z28=TRUE,AA28=TRUE),$O28,IF(Z28=TRUE,"Completed",IF(AA28=TRUE,"Paid","-")))</f>
        <v>-</v>
      </c>
      <c r="AJ28" s="11" t="str">
        <f>IF(AND(AB28=TRUE,AC28=TRUE),$O28,IF(AB28=TRUE,"Completed",IF(AC28=TRUE,"Paid","-")))</f>
        <v>-</v>
      </c>
    </row>
    <row r="29" spans="2:36" x14ac:dyDescent="0.3">
      <c r="B29" s="9" t="s">
        <v>15</v>
      </c>
      <c r="C29" s="9" t="s">
        <v>18</v>
      </c>
      <c r="D29" s="11">
        <f t="shared" ref="D29:D30" si="3">IF(C29=$B$76,$B$77,IF(C29=$C$76,$C$77,IF(C29=$D$76,$D$77,IF(C29=$E$76,$E$77,E22))))</f>
        <v>10</v>
      </c>
      <c r="E29" s="11">
        <f>IFERROR(D29-(COUNTIF(F29,TRUE)+COUNTIF(G29,TRUE)+COUNTIF(H29,TRUE)+COUNTIF(I29,TRUE)+COUNTIF(J29,TRUE)+COUNTIF(K29,TRUE)+COUNTIF(L29,TRUE))," ")</f>
        <v>9</v>
      </c>
      <c r="F29" s="18" t="b">
        <v>0</v>
      </c>
      <c r="G29" s="18" t="b">
        <v>0</v>
      </c>
      <c r="H29" s="18" t="b">
        <v>0</v>
      </c>
      <c r="I29" s="18" t="b">
        <v>0</v>
      </c>
      <c r="J29" s="18" t="b">
        <v>0</v>
      </c>
      <c r="K29" s="18" t="b">
        <v>1</v>
      </c>
      <c r="L29" s="18" t="b">
        <v>0</v>
      </c>
      <c r="N29" s="11" t="s">
        <v>36</v>
      </c>
      <c r="O29" s="11">
        <v>80</v>
      </c>
      <c r="P29" s="18" t="b">
        <v>0</v>
      </c>
      <c r="Q29" s="18" t="b">
        <v>0</v>
      </c>
      <c r="R29" s="18" t="b">
        <v>1</v>
      </c>
      <c r="S29" s="18" t="b">
        <v>1</v>
      </c>
      <c r="T29" s="18" t="b">
        <v>0</v>
      </c>
      <c r="U29" s="18" t="b">
        <v>0</v>
      </c>
      <c r="V29" s="18" t="b">
        <v>0</v>
      </c>
      <c r="W29" s="18" t="b">
        <v>0</v>
      </c>
      <c r="X29" s="18" t="b">
        <v>0</v>
      </c>
      <c r="Y29" s="18" t="b">
        <v>0</v>
      </c>
      <c r="Z29" s="18" t="b">
        <v>0</v>
      </c>
      <c r="AA29" s="18" t="b">
        <v>0</v>
      </c>
      <c r="AB29" s="18" t="b">
        <v>0</v>
      </c>
      <c r="AC29" s="18" t="b">
        <v>0</v>
      </c>
      <c r="AD29" s="11" t="str">
        <f>IF(AND(P29=TRUE,Q29=TRUE),$O29,IF(P29=TRUE,"Completed",IF(Q29=TRUE,"Paid","-")))</f>
        <v>-</v>
      </c>
      <c r="AE29" s="11">
        <f>IF(AND(R29=TRUE,S29=TRUE),$O29,IF(R29=TRUE,"Completed",IF(S29=TRUE,"Paid","-")))</f>
        <v>80</v>
      </c>
      <c r="AF29" s="11" t="str">
        <f>IF(AND(T29=TRUE,U29=TRUE),$O29,IF(T29=TRUE,"Completed",IF(U29=TRUE,"Paid","-")))</f>
        <v>-</v>
      </c>
      <c r="AG29" s="11" t="str">
        <f>IF(AND(V29=TRUE,W29=TRUE),$O29,IF(V29=TRUE,"Completed",IF(W29=TRUE,"Paid","-")))</f>
        <v>-</v>
      </c>
      <c r="AH29" s="11" t="str">
        <f>IF(AND(X29=TRUE,Y29=TRUE),$O29,IF(X29=TRUE,"Completed",IF(Y29=TRUE,"Paid","-")))</f>
        <v>-</v>
      </c>
      <c r="AI29" s="11" t="str">
        <f>IF(AND(Z29=TRUE,AA29=TRUE),$O29,IF(Z29=TRUE,"Completed",IF(AA29=TRUE,"Paid","-")))</f>
        <v>-</v>
      </c>
      <c r="AJ29" s="11" t="str">
        <f>IF(AND(AB29=TRUE,AC29=TRUE),$O29,IF(AB29=TRUE,"Completed",IF(AC29=TRUE,"Paid","-")))</f>
        <v>-</v>
      </c>
    </row>
    <row r="30" spans="2:36" x14ac:dyDescent="0.3">
      <c r="B30" s="9" t="s">
        <v>16</v>
      </c>
      <c r="C30" s="9"/>
      <c r="D30" s="11">
        <f t="shared" si="3"/>
        <v>2</v>
      </c>
      <c r="E30" s="11">
        <f>IFERROR(D30-(COUNTIF(F30,TRUE)+COUNTIF(G30,TRUE)+COUNTIF(H30,TRUE)+COUNTIF(I30,TRUE)+COUNTIF(J30,TRUE)+COUNTIF(K30,TRUE)+COUNTIF(L30,TRUE))," ")</f>
        <v>0</v>
      </c>
      <c r="F30" s="18" t="b">
        <v>1</v>
      </c>
      <c r="G30" s="18" t="b">
        <v>0</v>
      </c>
      <c r="H30" s="18" t="b">
        <v>1</v>
      </c>
      <c r="I30" s="18" t="b">
        <v>0</v>
      </c>
      <c r="J30" s="18" t="b">
        <v>0</v>
      </c>
      <c r="K30" s="18" t="b">
        <v>0</v>
      </c>
      <c r="L30" s="18" t="b">
        <v>0</v>
      </c>
      <c r="M30" s="17"/>
    </row>
    <row r="31" spans="2:36" x14ac:dyDescent="0.3">
      <c r="M31" s="17"/>
    </row>
    <row r="32" spans="2:36" x14ac:dyDescent="0.3">
      <c r="B32" s="27" t="s">
        <v>40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17"/>
      <c r="N32" s="27" t="s">
        <v>40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</row>
    <row r="33" spans="2:36" x14ac:dyDescent="0.3">
      <c r="B33" s="9"/>
      <c r="C33" s="11" t="s">
        <v>25</v>
      </c>
      <c r="D33" s="12" t="s">
        <v>34</v>
      </c>
      <c r="E33" s="12" t="s">
        <v>41</v>
      </c>
      <c r="F33" s="12" t="s">
        <v>26</v>
      </c>
      <c r="G33" s="12" t="s">
        <v>27</v>
      </c>
      <c r="H33" s="12" t="s">
        <v>28</v>
      </c>
      <c r="I33" s="12" t="s">
        <v>29</v>
      </c>
      <c r="J33" s="12" t="s">
        <v>30</v>
      </c>
      <c r="K33" s="12" t="s">
        <v>31</v>
      </c>
      <c r="L33" s="12" t="s">
        <v>32</v>
      </c>
      <c r="M33" s="17"/>
      <c r="N33" s="9"/>
      <c r="O33" s="11" t="s">
        <v>33</v>
      </c>
      <c r="P33" s="28" t="s">
        <v>26</v>
      </c>
      <c r="Q33" s="28"/>
      <c r="R33" s="28" t="s">
        <v>27</v>
      </c>
      <c r="S33" s="28"/>
      <c r="T33" s="28" t="s">
        <v>28</v>
      </c>
      <c r="U33" s="28"/>
      <c r="V33" s="28" t="s">
        <v>29</v>
      </c>
      <c r="W33" s="28"/>
      <c r="X33" s="28" t="s">
        <v>30</v>
      </c>
      <c r="Y33" s="28"/>
      <c r="Z33" s="28" t="s">
        <v>31</v>
      </c>
      <c r="AA33" s="28"/>
      <c r="AB33" s="28" t="s">
        <v>32</v>
      </c>
      <c r="AC33" s="28"/>
      <c r="AD33" s="9" t="s">
        <v>26</v>
      </c>
      <c r="AE33" s="9" t="s">
        <v>27</v>
      </c>
      <c r="AF33" s="9" t="s">
        <v>28</v>
      </c>
      <c r="AG33" s="9" t="s">
        <v>29</v>
      </c>
      <c r="AH33" s="9" t="s">
        <v>30</v>
      </c>
      <c r="AI33" s="9" t="s">
        <v>31</v>
      </c>
      <c r="AJ33" s="9" t="s">
        <v>32</v>
      </c>
    </row>
    <row r="34" spans="2:36" x14ac:dyDescent="0.3">
      <c r="B34" s="9"/>
      <c r="C34" s="11"/>
      <c r="D34" s="11"/>
      <c r="E34" s="11"/>
      <c r="F34" s="11" t="s">
        <v>23</v>
      </c>
      <c r="G34" s="11" t="s">
        <v>23</v>
      </c>
      <c r="H34" s="11" t="s">
        <v>23</v>
      </c>
      <c r="I34" s="11" t="s">
        <v>23</v>
      </c>
      <c r="J34" s="11" t="s">
        <v>23</v>
      </c>
      <c r="K34" s="11" t="s">
        <v>23</v>
      </c>
      <c r="L34" s="11" t="s">
        <v>23</v>
      </c>
      <c r="N34" s="9"/>
      <c r="O34" s="9"/>
      <c r="P34" s="11" t="s">
        <v>23</v>
      </c>
      <c r="Q34" s="11" t="s">
        <v>24</v>
      </c>
      <c r="R34" s="11" t="s">
        <v>23</v>
      </c>
      <c r="S34" s="11" t="s">
        <v>24</v>
      </c>
      <c r="T34" s="11" t="s">
        <v>23</v>
      </c>
      <c r="U34" s="11" t="s">
        <v>24</v>
      </c>
      <c r="V34" s="11" t="s">
        <v>23</v>
      </c>
      <c r="W34" s="11" t="s">
        <v>24</v>
      </c>
      <c r="X34" s="11" t="s">
        <v>23</v>
      </c>
      <c r="Y34" s="11" t="s">
        <v>24</v>
      </c>
      <c r="Z34" s="11" t="s">
        <v>23</v>
      </c>
      <c r="AA34" s="11" t="s">
        <v>24</v>
      </c>
      <c r="AB34" s="11" t="s">
        <v>23</v>
      </c>
      <c r="AC34" s="11" t="s">
        <v>24</v>
      </c>
      <c r="AD34" s="9"/>
      <c r="AE34" s="9"/>
      <c r="AF34" s="9"/>
      <c r="AG34" s="9"/>
      <c r="AH34" s="9"/>
      <c r="AI34" s="9"/>
      <c r="AJ34" s="9"/>
    </row>
    <row r="35" spans="2:36" x14ac:dyDescent="0.3">
      <c r="B35" s="9" t="s">
        <v>14</v>
      </c>
      <c r="C35" s="9"/>
      <c r="D35" s="11">
        <f>IF(C35=$B$76,$B$77,IF(C35=$C$76,$C$77,IF(C35=$D$76,$D$77,IF(C35=$E$76,$E$77,E28))))</f>
        <v>4</v>
      </c>
      <c r="E35" s="11">
        <f>IFERROR(D35-(COUNTIF(F35,TRUE)+COUNTIF(G35,TRUE)+COUNTIF(H35,TRUE)+COUNTIF(I35,TRUE)+COUNTIF(J35,TRUE)+COUNTIF(K35,TRUE)+COUNTIF(L35,TRUE))," ")</f>
        <v>2</v>
      </c>
      <c r="F35" s="18" t="b">
        <v>0</v>
      </c>
      <c r="G35" s="18" t="b">
        <v>0</v>
      </c>
      <c r="H35" s="18" t="b">
        <v>0</v>
      </c>
      <c r="I35" s="18" t="b">
        <v>0</v>
      </c>
      <c r="J35" s="18" t="b">
        <v>1</v>
      </c>
      <c r="K35" s="18" t="b">
        <v>1</v>
      </c>
      <c r="L35" s="18" t="b">
        <v>0</v>
      </c>
      <c r="N35" s="11" t="s">
        <v>35</v>
      </c>
      <c r="O35" s="11">
        <v>55</v>
      </c>
      <c r="P35" s="18" t="b">
        <v>0</v>
      </c>
      <c r="Q35" s="18" t="b">
        <v>0</v>
      </c>
      <c r="R35" s="18" t="b">
        <v>1</v>
      </c>
      <c r="S35" s="18" t="b">
        <v>1</v>
      </c>
      <c r="T35" s="18" t="b">
        <v>0</v>
      </c>
      <c r="U35" s="18" t="b">
        <v>0</v>
      </c>
      <c r="V35" s="18" t="b">
        <v>1</v>
      </c>
      <c r="W35" s="18" t="b">
        <v>1</v>
      </c>
      <c r="X35" s="18" t="b">
        <v>0</v>
      </c>
      <c r="Y35" s="18" t="b">
        <v>0</v>
      </c>
      <c r="Z35" s="18" t="b">
        <v>0</v>
      </c>
      <c r="AA35" s="18" t="b">
        <v>0</v>
      </c>
      <c r="AB35" s="18" t="b">
        <v>0</v>
      </c>
      <c r="AC35" s="18" t="b">
        <v>0</v>
      </c>
      <c r="AD35" s="11" t="str">
        <f>IF(AND(P35=TRUE,Q35=TRUE),$O35,IF(P35=TRUE,"Completed",IF(Q35=TRUE,"Paid","-")))</f>
        <v>-</v>
      </c>
      <c r="AE35" s="11">
        <f>IF(AND(R35=TRUE,S35=TRUE),$O35,IF(R35=TRUE,"Completed",IF(S35=TRUE,"Paid","-")))</f>
        <v>55</v>
      </c>
      <c r="AF35" s="11" t="str">
        <f>IF(AND(T35=TRUE,U35=TRUE),$O35,IF(T35=TRUE,"Completed",IF(U35=TRUE,"Paid","-")))</f>
        <v>-</v>
      </c>
      <c r="AG35" s="11">
        <f>IF(AND(V35=TRUE,W35=TRUE),$O35,IF(V35=TRUE,"Completed",IF(W35=TRUE,"Paid","-")))</f>
        <v>55</v>
      </c>
      <c r="AH35" s="11" t="str">
        <f>IF(AND(X35=TRUE,Y35=TRUE),$O35,IF(X35=TRUE,"Completed",IF(Y35=TRUE,"Paid","-")))</f>
        <v>-</v>
      </c>
      <c r="AI35" s="11" t="str">
        <f>IF(AND(Z35=TRUE,AA35=TRUE),$O35,IF(Z35=TRUE,"Completed",IF(AA35=TRUE,"Paid","-")))</f>
        <v>-</v>
      </c>
      <c r="AJ35" s="11" t="str">
        <f>IF(AND(AB35=TRUE,AC35=TRUE),$O35,IF(AB35=TRUE,"Completed",IF(AC35=TRUE,"Paid","-")))</f>
        <v>-</v>
      </c>
    </row>
    <row r="36" spans="2:36" x14ac:dyDescent="0.3">
      <c r="B36" s="9" t="s">
        <v>15</v>
      </c>
      <c r="C36" s="9"/>
      <c r="D36" s="11">
        <f t="shared" ref="D36:D37" si="4">IF(C36=$B$76,$B$77,IF(C36=$C$76,$C$77,IF(C36=$D$76,$D$77,IF(C36=$E$76,$E$77,E29))))</f>
        <v>9</v>
      </c>
      <c r="E36" s="11">
        <f>IFERROR(D36-(COUNTIF(F36,TRUE)+COUNTIF(G36,TRUE)+COUNTIF(H36,TRUE)+COUNTIF(I36,TRUE)+COUNTIF(J36,TRUE)+COUNTIF(K36,TRUE)+COUNTIF(L36,TRUE))," ")</f>
        <v>8</v>
      </c>
      <c r="F36" s="18" t="b">
        <v>0</v>
      </c>
      <c r="G36" s="18" t="b">
        <v>0</v>
      </c>
      <c r="H36" s="18" t="b">
        <v>0</v>
      </c>
      <c r="I36" s="18" t="b">
        <v>0</v>
      </c>
      <c r="J36" s="18" t="b">
        <v>0</v>
      </c>
      <c r="K36" s="18" t="b">
        <v>1</v>
      </c>
      <c r="L36" s="18" t="b">
        <v>0</v>
      </c>
      <c r="N36" s="11" t="s">
        <v>36</v>
      </c>
      <c r="O36" s="11">
        <v>80</v>
      </c>
      <c r="P36" s="18" t="b">
        <v>0</v>
      </c>
      <c r="Q36" s="18" t="b">
        <v>0</v>
      </c>
      <c r="R36" s="18" t="b">
        <v>1</v>
      </c>
      <c r="S36" s="18" t="b">
        <v>1</v>
      </c>
      <c r="T36" s="18" t="b">
        <v>0</v>
      </c>
      <c r="U36" s="18" t="b">
        <v>0</v>
      </c>
      <c r="V36" s="18" t="b">
        <v>0</v>
      </c>
      <c r="W36" s="18" t="b">
        <v>0</v>
      </c>
      <c r="X36" s="18" t="b">
        <v>0</v>
      </c>
      <c r="Y36" s="18" t="b">
        <v>0</v>
      </c>
      <c r="Z36" s="18" t="b">
        <v>0</v>
      </c>
      <c r="AA36" s="18" t="b">
        <v>0</v>
      </c>
      <c r="AB36" s="18" t="b">
        <v>0</v>
      </c>
      <c r="AC36" s="18" t="b">
        <v>0</v>
      </c>
      <c r="AD36" s="11" t="str">
        <f>IF(AND(P36=TRUE,Q36=TRUE),$O36,IF(P36=TRUE,"Completed",IF(Q36=TRUE,"Paid","-")))</f>
        <v>-</v>
      </c>
      <c r="AE36" s="11">
        <f>IF(AND(R36=TRUE,S36=TRUE),$O36,IF(R36=TRUE,"Completed",IF(S36=TRUE,"Paid","-")))</f>
        <v>80</v>
      </c>
      <c r="AF36" s="11" t="str">
        <f>IF(AND(T36=TRUE,U36=TRUE),$O36,IF(T36=TRUE,"Completed",IF(U36=TRUE,"Paid","-")))</f>
        <v>-</v>
      </c>
      <c r="AG36" s="11" t="str">
        <f>IF(AND(V36=TRUE,W36=TRUE),$O36,IF(V36=TRUE,"Completed",IF(W36=TRUE,"Paid","-")))</f>
        <v>-</v>
      </c>
      <c r="AH36" s="11" t="str">
        <f>IF(AND(X36=TRUE,Y36=TRUE),$O36,IF(X36=TRUE,"Completed",IF(Y36=TRUE,"Paid","-")))</f>
        <v>-</v>
      </c>
      <c r="AI36" s="11" t="str">
        <f>IF(AND(Z36=TRUE,AA36=TRUE),$O36,IF(Z36=TRUE,"Completed",IF(AA36=TRUE,"Paid","-")))</f>
        <v>-</v>
      </c>
      <c r="AJ36" s="11" t="str">
        <f>IF(AND(AB36=TRUE,AC36=TRUE),$O36,IF(AB36=TRUE,"Completed",IF(AC36=TRUE,"Paid","-")))</f>
        <v>-</v>
      </c>
    </row>
    <row r="37" spans="2:36" x14ac:dyDescent="0.3">
      <c r="B37" s="9" t="s">
        <v>16</v>
      </c>
      <c r="C37" s="9" t="s">
        <v>17</v>
      </c>
      <c r="D37" s="11">
        <f t="shared" si="4"/>
        <v>10</v>
      </c>
      <c r="E37" s="11">
        <f>IFERROR(D37-(COUNTIF(F37,TRUE)+COUNTIF(G37,TRUE)+COUNTIF(H37,TRUE)+COUNTIF(I37,TRUE)+COUNTIF(J37,TRUE)+COUNTIF(K37,TRUE)+COUNTIF(L37,TRUE))," ")</f>
        <v>8</v>
      </c>
      <c r="F37" s="18" t="b">
        <v>1</v>
      </c>
      <c r="G37" s="18" t="b">
        <v>0</v>
      </c>
      <c r="H37" s="18" t="b">
        <v>1</v>
      </c>
      <c r="I37" s="18" t="b">
        <v>0</v>
      </c>
      <c r="J37" s="18" t="b">
        <v>0</v>
      </c>
      <c r="K37" s="18" t="b">
        <v>0</v>
      </c>
      <c r="L37" s="18" t="b">
        <v>0</v>
      </c>
    </row>
    <row r="41" spans="2:36" x14ac:dyDescent="0.3">
      <c r="B41" t="s">
        <v>51</v>
      </c>
      <c r="D41" s="23">
        <f>SUM(AD13:AJ14)+SUM(AD21:AJ22)+SUM(AD28:AJ29)+SUM(AD35:AJ36)+(D5*C5)+(D6*C6)+(D7*C7)+(D8*C8)</f>
        <v>2290</v>
      </c>
    </row>
    <row r="45" spans="2:36" x14ac:dyDescent="0.3">
      <c r="B45" s="21">
        <f>COUNTA(B21:B23)+COUNTA(N21:N22)</f>
        <v>5</v>
      </c>
      <c r="C45" s="21">
        <f>COUNTIF(F13:L15,TRUE)+COUNTIF(F21:L23,TRUE)+COUNTIF(F28:L30,TRUE)+COUNTIF(F35:L37,TRUE)+9</f>
        <v>29</v>
      </c>
      <c r="D45" s="21">
        <f>COUNTA(C13:C15)+COUNTA(C21:C23)+COUNTA(C28:C30)+COUNTA(C35:C37)</f>
        <v>3</v>
      </c>
    </row>
    <row r="48" spans="2:36" x14ac:dyDescent="0.3">
      <c r="B48" t="s">
        <v>52</v>
      </c>
      <c r="C48" t="s">
        <v>23</v>
      </c>
      <c r="E48" t="s">
        <v>56</v>
      </c>
      <c r="F48" t="s">
        <v>57</v>
      </c>
    </row>
    <row r="49" spans="2:6" x14ac:dyDescent="0.3">
      <c r="B49" t="s">
        <v>53</v>
      </c>
      <c r="C49">
        <v>8</v>
      </c>
      <c r="E49">
        <f>(D5*C5)+(D6*C6)+(D7*C7)+(D8*C8)</f>
        <v>1720</v>
      </c>
      <c r="F49">
        <f>SUM(AD13:AJ14)+SUM(AD21:AJ22)+SUM(AD28:AJ29)+SUM(AD35:AJ36)</f>
        <v>570</v>
      </c>
    </row>
    <row r="50" spans="2:6" x14ac:dyDescent="0.3">
      <c r="B50" t="s">
        <v>15</v>
      </c>
      <c r="C50">
        <v>4</v>
      </c>
    </row>
    <row r="51" spans="2:6" x14ac:dyDescent="0.3">
      <c r="B51" t="s">
        <v>16</v>
      </c>
      <c r="C51">
        <v>8</v>
      </c>
    </row>
    <row r="52" spans="2:6" x14ac:dyDescent="0.3">
      <c r="B52" t="s">
        <v>54</v>
      </c>
      <c r="C52">
        <v>6</v>
      </c>
    </row>
    <row r="53" spans="2:6" x14ac:dyDescent="0.3">
      <c r="B53" t="s">
        <v>55</v>
      </c>
      <c r="C53">
        <v>3</v>
      </c>
    </row>
    <row r="76" spans="2:5" x14ac:dyDescent="0.3">
      <c r="B76" t="s">
        <v>18</v>
      </c>
      <c r="C76" t="s">
        <v>17</v>
      </c>
      <c r="D76" t="s">
        <v>19</v>
      </c>
      <c r="E76" t="s">
        <v>20</v>
      </c>
    </row>
    <row r="77" spans="2:5" x14ac:dyDescent="0.3">
      <c r="B77">
        <v>10</v>
      </c>
      <c r="C77">
        <v>10</v>
      </c>
      <c r="D77">
        <v>5</v>
      </c>
      <c r="E77">
        <v>5</v>
      </c>
    </row>
  </sheetData>
  <mergeCells count="37">
    <mergeCell ref="H3:K3"/>
    <mergeCell ref="B10:L10"/>
    <mergeCell ref="N10:AJ10"/>
    <mergeCell ref="P11:Q11"/>
    <mergeCell ref="R11:S11"/>
    <mergeCell ref="T11:U11"/>
    <mergeCell ref="V11:W11"/>
    <mergeCell ref="X11:Y11"/>
    <mergeCell ref="Z11:AA11"/>
    <mergeCell ref="AB11:AC11"/>
    <mergeCell ref="B18:L18"/>
    <mergeCell ref="N18:AJ18"/>
    <mergeCell ref="P19:Q19"/>
    <mergeCell ref="R19:S19"/>
    <mergeCell ref="T19:U19"/>
    <mergeCell ref="V19:W19"/>
    <mergeCell ref="X19:Y19"/>
    <mergeCell ref="Z19:AA19"/>
    <mergeCell ref="AB19:AC19"/>
    <mergeCell ref="B25:L25"/>
    <mergeCell ref="N25:AJ25"/>
    <mergeCell ref="P26:Q26"/>
    <mergeCell ref="R26:S26"/>
    <mergeCell ref="T26:U26"/>
    <mergeCell ref="V26:W26"/>
    <mergeCell ref="X26:Y26"/>
    <mergeCell ref="Z26:AA26"/>
    <mergeCell ref="AB26:AC26"/>
    <mergeCell ref="B32:L32"/>
    <mergeCell ref="N32:AJ32"/>
    <mergeCell ref="P33:Q33"/>
    <mergeCell ref="R33:S33"/>
    <mergeCell ref="T33:U33"/>
    <mergeCell ref="V33:W33"/>
    <mergeCell ref="X33:Y33"/>
    <mergeCell ref="Z33:AA33"/>
    <mergeCell ref="AB33:AC33"/>
  </mergeCells>
  <conditionalFormatting sqref="E13:E15 E21:E23 E28:E30 E35:E37">
    <cfRule type="cellIs" dxfId="3" priority="1" operator="lessThan">
      <formula>2</formula>
    </cfRule>
    <cfRule type="cellIs" dxfId="2" priority="2" operator="lessThan">
      <formula>2</formula>
    </cfRule>
    <cfRule type="cellIs" dxfId="1" priority="3" operator="lessThan">
      <formula>2</formula>
    </cfRule>
    <cfRule type="cellIs" dxfId="0" priority="4" operator="lessThan">
      <formula>1</formula>
    </cfRule>
  </conditionalFormatting>
  <dataValidations count="2">
    <dataValidation type="list" allowBlank="1" showInputMessage="1" showErrorMessage="1" sqref="I6:I8" xr:uid="{53DBB7F5-97FD-4AD9-AC21-30FE786BB2B8}">
      <formula1>$B$5:$B$8</formula1>
    </dataValidation>
    <dataValidation type="list" showInputMessage="1" showErrorMessage="1" sqref="C13:C15 C21:C23 C28:C30 C35:C37" xr:uid="{B300A18F-9AA0-4911-94A6-D49DECE310C9}">
      <formula1>$A$76:$E$76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A13E-9B00-45F1-B340-CDE69C633A41}">
  <dimension ref="B2:W8"/>
  <sheetViews>
    <sheetView tabSelected="1" workbookViewId="0">
      <selection activeCell="S16" sqref="S16"/>
    </sheetView>
  </sheetViews>
  <sheetFormatPr defaultRowHeight="14.4" x14ac:dyDescent="0.3"/>
  <sheetData>
    <row r="2" spans="2:23" ht="33.6" x14ac:dyDescent="0.65">
      <c r="B2" s="22" t="s">
        <v>48</v>
      </c>
      <c r="C2" s="22"/>
      <c r="D2" s="22"/>
    </row>
    <row r="3" spans="2:23" x14ac:dyDescent="0.3">
      <c r="B3" t="s">
        <v>49</v>
      </c>
    </row>
    <row r="5" spans="2:23" ht="15" customHeight="1" x14ac:dyDescent="0.3"/>
    <row r="6" spans="2:23" x14ac:dyDescent="0.3">
      <c r="V6" s="21" t="s">
        <v>44</v>
      </c>
      <c r="W6" s="21" t="s">
        <v>45</v>
      </c>
    </row>
    <row r="7" spans="2:23" x14ac:dyDescent="0.3">
      <c r="V7" s="21" t="s">
        <v>46</v>
      </c>
      <c r="W7" s="21">
        <v>7200</v>
      </c>
    </row>
    <row r="8" spans="2:23" x14ac:dyDescent="0.3">
      <c r="V8" s="21" t="s">
        <v>47</v>
      </c>
      <c r="W8" s="21">
        <v>4100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E2F0-9C63-4AF1-8063-6E0FB34E017E}">
  <dimension ref="B2:B3"/>
  <sheetViews>
    <sheetView workbookViewId="0">
      <selection activeCell="I10" sqref="I10"/>
    </sheetView>
  </sheetViews>
  <sheetFormatPr defaultRowHeight="14.4" x14ac:dyDescent="0.3"/>
  <sheetData>
    <row r="2" spans="2:2" ht="33.6" x14ac:dyDescent="0.65">
      <c r="B2" s="22" t="s">
        <v>50</v>
      </c>
    </row>
    <row r="3" spans="2:2" x14ac:dyDescent="0.3">
      <c r="B3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Overview</vt:lpstr>
      <vt:lpstr>Expenses</vt:lpstr>
      <vt:lpstr>Lessons Data</vt:lpstr>
      <vt:lpstr>Budget dashboard</vt:lpstr>
      <vt:lpstr>Lessons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Yurii Shust</dc:creator>
  <cp:lastModifiedBy>Yurii Shust</cp:lastModifiedBy>
  <dcterms:created xsi:type="dcterms:W3CDTF">2015-06-05T18:17:20Z</dcterms:created>
  <dcterms:modified xsi:type="dcterms:W3CDTF">2026-05-05T20:26:57Z</dcterms:modified>
</cp:coreProperties>
</file>